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tudy\tibet\数据\"/>
    </mc:Choice>
  </mc:AlternateContent>
  <xr:revisionPtr revIDLastSave="0" documentId="13_ncr:1_{30D9F391-BF54-49F9-B92F-0532373C2729}" xr6:coauthVersionLast="47" xr6:coauthVersionMax="47" xr10:uidLastSave="{00000000-0000-0000-0000-000000000000}"/>
  <bookViews>
    <workbookView xWindow="6490" yWindow="2430" windowWidth="19210" windowHeight="11130" activeTab="1" xr2:uid="{00000000-000D-0000-FFFF-FFFF00000000}"/>
  </bookViews>
  <sheets>
    <sheet name="原始数据" sheetId="1" r:id="rId1"/>
    <sheet name="平均值和标准误" sheetId="2" r:id="rId2"/>
    <sheet name="熏蒸数据" sheetId="3" r:id="rId3"/>
    <sheet name="熏蒸-标准误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1" l="1"/>
  <c r="C39" i="1"/>
  <c r="D38" i="1"/>
  <c r="C38" i="1"/>
  <c r="D37" i="1"/>
  <c r="C37" i="1"/>
  <c r="C36" i="1"/>
  <c r="D36" i="1"/>
</calcChain>
</file>

<file path=xl/sharedStrings.xml><?xml version="1.0" encoding="utf-8"?>
<sst xmlns="http://schemas.openxmlformats.org/spreadsheetml/2006/main" count="382" uniqueCount="154">
  <si>
    <t>Maximum</t>
    <phoneticPr fontId="2" type="noConversion"/>
  </si>
  <si>
    <t>Average</t>
    <phoneticPr fontId="2" type="noConversion"/>
  </si>
  <si>
    <t xml:space="preserve">Total </t>
    <phoneticPr fontId="2" type="noConversion"/>
  </si>
  <si>
    <t>Sample</t>
    <phoneticPr fontId="2" type="noConversion"/>
  </si>
  <si>
    <t>F</t>
    <phoneticPr fontId="2" type="noConversion"/>
  </si>
  <si>
    <t>F1</t>
    <phoneticPr fontId="2" type="noConversion"/>
  </si>
  <si>
    <t>F2</t>
    <phoneticPr fontId="2" type="noConversion"/>
  </si>
  <si>
    <t>F3</t>
    <phoneticPr fontId="2" type="noConversion"/>
  </si>
  <si>
    <t>F4</t>
    <phoneticPr fontId="2" type="noConversion"/>
  </si>
  <si>
    <t>F5</t>
    <phoneticPr fontId="2" type="noConversion"/>
  </si>
  <si>
    <t>F6</t>
    <phoneticPr fontId="2" type="noConversion"/>
  </si>
  <si>
    <t>G</t>
    <phoneticPr fontId="2" type="noConversion"/>
  </si>
  <si>
    <t>G1</t>
    <phoneticPr fontId="2" type="noConversion"/>
  </si>
  <si>
    <t>G2</t>
    <phoneticPr fontId="2" type="noConversion"/>
  </si>
  <si>
    <t>G3</t>
    <phoneticPr fontId="2" type="noConversion"/>
  </si>
  <si>
    <t>G4</t>
    <phoneticPr fontId="2" type="noConversion"/>
  </si>
  <si>
    <t>G5</t>
    <phoneticPr fontId="2" type="noConversion"/>
  </si>
  <si>
    <t>C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</si>
  <si>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</si>
  <si>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</si>
  <si>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</si>
  <si>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C4</t>
    <phoneticPr fontId="2" type="noConversion"/>
  </si>
  <si>
    <t>C5</t>
  </si>
  <si>
    <t>C6</t>
  </si>
  <si>
    <t>C7</t>
  </si>
  <si>
    <t>C8</t>
  </si>
  <si>
    <t>WL</t>
    <phoneticPr fontId="2" type="noConversion"/>
  </si>
  <si>
    <t>W1</t>
    <phoneticPr fontId="2" type="noConversion"/>
  </si>
  <si>
    <t>W2</t>
    <phoneticPr fontId="2" type="noConversion"/>
  </si>
  <si>
    <t>W3</t>
    <phoneticPr fontId="2" type="noConversion"/>
  </si>
  <si>
    <t>BL</t>
    <phoneticPr fontId="2" type="noConversion"/>
  </si>
  <si>
    <t>S1</t>
    <phoneticPr fontId="2" type="noConversion"/>
  </si>
  <si>
    <t>RV1</t>
    <phoneticPr fontId="2" type="noConversion"/>
  </si>
  <si>
    <t>RV2</t>
    <phoneticPr fontId="2" type="noConversion"/>
  </si>
  <si>
    <t xml:space="preserve">HONO flux </t>
    <phoneticPr fontId="2" type="noConversion"/>
  </si>
  <si>
    <t>NO flux</t>
    <phoneticPr fontId="2" type="noConversion"/>
  </si>
  <si>
    <t>NO2 flux</t>
    <phoneticPr fontId="2" type="noConversion"/>
  </si>
  <si>
    <t>NOx flux</t>
    <phoneticPr fontId="2" type="noConversion"/>
  </si>
  <si>
    <t>NH3 flux</t>
    <phoneticPr fontId="2" type="noConversion"/>
  </si>
  <si>
    <t>N2O flux</t>
    <phoneticPr fontId="2" type="noConversion"/>
  </si>
  <si>
    <t>NH3 flux</t>
    <phoneticPr fontId="3" type="noConversion"/>
  </si>
  <si>
    <t>HONO flux</t>
    <phoneticPr fontId="2" type="noConversion"/>
  </si>
  <si>
    <t>SE</t>
    <phoneticPr fontId="2" type="noConversion"/>
  </si>
  <si>
    <t>Fresh</t>
  </si>
  <si>
    <t>Fresh</t>
    <phoneticPr fontId="2" type="noConversion"/>
  </si>
  <si>
    <t>Air-dried</t>
  </si>
  <si>
    <t>Air-dried</t>
    <phoneticPr fontId="2" type="noConversion"/>
  </si>
  <si>
    <t>pH</t>
    <phoneticPr fontId="2" type="noConversion"/>
  </si>
  <si>
    <t>TN</t>
    <phoneticPr fontId="2" type="noConversion"/>
  </si>
  <si>
    <t>TC</t>
    <phoneticPr fontId="2" type="noConversion"/>
  </si>
  <si>
    <t>(mg/kg)</t>
    <phoneticPr fontId="2" type="noConversion"/>
  </si>
  <si>
    <t>NO3-N</t>
  </si>
  <si>
    <t>NO2-N</t>
  </si>
  <si>
    <t>NH4-N</t>
  </si>
  <si>
    <t>Water</t>
    <phoneticPr fontId="2" type="noConversion"/>
  </si>
  <si>
    <t>2M KCl</t>
    <phoneticPr fontId="2" type="noConversion"/>
  </si>
  <si>
    <r>
      <rPr>
        <b/>
        <sz val="9"/>
        <color theme="1"/>
        <rFont val="宋体"/>
        <family val="3"/>
        <charset val="134"/>
      </rPr>
      <t>净硝化速率</t>
    </r>
    <phoneticPr fontId="2" type="noConversion"/>
  </si>
  <si>
    <r>
      <rPr>
        <b/>
        <sz val="9"/>
        <color theme="1"/>
        <rFont val="宋体"/>
        <family val="3"/>
        <charset val="134"/>
      </rPr>
      <t>净矿化速率</t>
    </r>
    <phoneticPr fontId="2" type="noConversion"/>
  </si>
  <si>
    <t>粒径</t>
    <phoneticPr fontId="2" type="noConversion"/>
  </si>
  <si>
    <t>clay</t>
    <phoneticPr fontId="2" type="noConversion"/>
  </si>
  <si>
    <t>silt</t>
    <phoneticPr fontId="2" type="noConversion"/>
  </si>
  <si>
    <t>sand</t>
    <phoneticPr fontId="2" type="noConversion"/>
  </si>
  <si>
    <t>(%)</t>
    <phoneticPr fontId="2" type="noConversion"/>
  </si>
  <si>
    <t>理化</t>
    <phoneticPr fontId="2" type="noConversion"/>
  </si>
  <si>
    <t>无机氮含量</t>
    <phoneticPr fontId="2" type="noConversion"/>
  </si>
  <si>
    <t>NA</t>
    <phoneticPr fontId="2" type="noConversion"/>
  </si>
  <si>
    <r>
      <t xml:space="preserve">mg N kg </t>
    </r>
    <r>
      <rPr>
        <b/>
        <sz val="9"/>
        <color theme="1"/>
        <rFont val="宋体"/>
        <family val="3"/>
        <charset val="134"/>
      </rPr>
      <t>－</t>
    </r>
    <r>
      <rPr>
        <b/>
        <sz val="9"/>
        <color theme="1"/>
        <rFont val="Times New Roman"/>
        <family val="1"/>
      </rPr>
      <t xml:space="preserve">1 ·d </t>
    </r>
    <r>
      <rPr>
        <b/>
        <sz val="9"/>
        <color theme="1"/>
        <rFont val="宋体"/>
        <family val="3"/>
        <charset val="134"/>
      </rPr>
      <t>－</t>
    </r>
    <r>
      <rPr>
        <b/>
        <sz val="9"/>
        <color theme="1"/>
        <rFont val="Times New Roman"/>
        <family val="1"/>
      </rPr>
      <t>1</t>
    </r>
    <phoneticPr fontId="2" type="noConversion"/>
  </si>
  <si>
    <t>F7</t>
  </si>
  <si>
    <t>F8</t>
  </si>
  <si>
    <t>F9</t>
  </si>
  <si>
    <t>F10</t>
  </si>
  <si>
    <t>含水率</t>
    <phoneticPr fontId="2" type="noConversion"/>
  </si>
  <si>
    <t>Sample</t>
  </si>
  <si>
    <t>F3A-2</t>
  </si>
  <si>
    <t>F3A-1</t>
  </si>
  <si>
    <t>F3A-3</t>
  </si>
  <si>
    <t>C2A-3</t>
  </si>
  <si>
    <t>C2A-1</t>
  </si>
  <si>
    <t>C2A-2</t>
  </si>
  <si>
    <t>G5A-3</t>
  </si>
  <si>
    <t>G5A-1</t>
  </si>
  <si>
    <t>G5A-2</t>
  </si>
  <si>
    <t>F3B-1</t>
  </si>
  <si>
    <t>F3B-2</t>
  </si>
  <si>
    <t>F3B-3</t>
  </si>
  <si>
    <t>C2B-1</t>
  </si>
  <si>
    <t>C2B-2</t>
  </si>
  <si>
    <t>C2B-3</t>
  </si>
  <si>
    <t>G5B-1</t>
  </si>
  <si>
    <t>G5B-2</t>
  </si>
  <si>
    <t>G5B-3</t>
  </si>
  <si>
    <t>F3C-1</t>
  </si>
  <si>
    <t>F3C-2</t>
  </si>
  <si>
    <t>F3C-3</t>
  </si>
  <si>
    <t>C2C-1</t>
  </si>
  <si>
    <t>C2C-2</t>
  </si>
  <si>
    <t>C2C-3</t>
  </si>
  <si>
    <t>G5C-1</t>
  </si>
  <si>
    <t>G5C-2</t>
  </si>
  <si>
    <t>G5C-3</t>
  </si>
  <si>
    <t>10ppb NO</t>
    <phoneticPr fontId="2" type="noConversion"/>
  </si>
  <si>
    <t>50ppb NO</t>
    <phoneticPr fontId="2" type="noConversion"/>
  </si>
  <si>
    <t>浓度</t>
  </si>
  <si>
    <t>F3A</t>
  </si>
  <si>
    <t>F3B</t>
  </si>
  <si>
    <t>F3C</t>
  </si>
  <si>
    <t>G5A</t>
  </si>
  <si>
    <t>G5B</t>
  </si>
  <si>
    <t>G5C</t>
  </si>
  <si>
    <t>C2A</t>
  </si>
  <si>
    <t>C2B</t>
  </si>
  <si>
    <t>C2C</t>
  </si>
  <si>
    <t>F3D-1</t>
  </si>
  <si>
    <t>F3D-2</t>
  </si>
  <si>
    <t>F3D-3</t>
  </si>
  <si>
    <t>C2D-1</t>
  </si>
  <si>
    <t>C2D-2</t>
  </si>
  <si>
    <t>C2D-3</t>
  </si>
  <si>
    <t>G5D-1</t>
  </si>
  <si>
    <t>G5D-2</t>
  </si>
  <si>
    <t>G5D-3</t>
  </si>
  <si>
    <t>F3E-1</t>
  </si>
  <si>
    <t>F3E-2</t>
  </si>
  <si>
    <t>F3E-3</t>
  </si>
  <si>
    <t>C2E-1</t>
  </si>
  <si>
    <t>C2E-2</t>
  </si>
  <si>
    <t>C2E-3</t>
  </si>
  <si>
    <t>G5E-1</t>
  </si>
  <si>
    <t>G5E-2</t>
  </si>
  <si>
    <t>G5E-3</t>
  </si>
  <si>
    <t>10ppbNOx+30ppbO3</t>
    <phoneticPr fontId="2" type="noConversion"/>
  </si>
  <si>
    <t>50ppbNOx+100ppbO3</t>
  </si>
  <si>
    <t>NO3-N(mg/kg)</t>
  </si>
  <si>
    <t>NO2-N(mg/kg)</t>
  </si>
  <si>
    <t>NH4-N(mg/kg)</t>
  </si>
  <si>
    <t>NA</t>
  </si>
  <si>
    <t>DOC(mg/kg)</t>
  </si>
  <si>
    <t>0ppb NO /NOx +O3</t>
    <phoneticPr fontId="2" type="noConversion"/>
  </si>
  <si>
    <t>DOC</t>
    <phoneticPr fontId="2" type="noConversion"/>
  </si>
  <si>
    <t>F3D</t>
    <phoneticPr fontId="2" type="noConversion"/>
  </si>
  <si>
    <t>F3E</t>
    <phoneticPr fontId="2" type="noConversion"/>
  </si>
  <si>
    <t>G5D</t>
    <phoneticPr fontId="2" type="noConversion"/>
  </si>
  <si>
    <t>G5E</t>
    <phoneticPr fontId="2" type="noConversion"/>
  </si>
  <si>
    <t>C2D</t>
    <phoneticPr fontId="2" type="noConversion"/>
  </si>
  <si>
    <t>C2E</t>
    <phoneticPr fontId="2" type="noConversion"/>
  </si>
  <si>
    <t>10ppb NOX+30ppb O3</t>
    <phoneticPr fontId="2" type="noConversion"/>
  </si>
  <si>
    <t>50ppb NOX+100ppb O3</t>
    <phoneticPr fontId="2" type="noConversion"/>
  </si>
  <si>
    <t>0ppb NO</t>
    <phoneticPr fontId="2" type="noConversion"/>
  </si>
  <si>
    <t>10ppb NO</t>
    <phoneticPr fontId="2" type="noConversion"/>
  </si>
  <si>
    <t>50ppb NO</t>
    <phoneticPr fontId="2" type="noConversion"/>
  </si>
  <si>
    <t>hono</t>
    <phoneticPr fontId="2" type="noConversion"/>
  </si>
  <si>
    <t>no</t>
    <phoneticPr fontId="2" type="noConversion"/>
  </si>
  <si>
    <t>no2</t>
    <phoneticPr fontId="2" type="noConversion"/>
  </si>
  <si>
    <t>nh3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</si>
</sst>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_ "/>
    <numFmt numFmtId="178" formatCode="0.000_ "/>
    <numFmt numFmtId="179" formatCode="0.00_);[Red]\(0.00\)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宋体"/>
      <family val="3"/>
      <charset val="134"/>
    </font>
    <font>
      <b/>
      <sz val="11"/>
      <color theme="1"/>
      <name val="宋体"/>
      <family val="1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theme="5"/>
      </right>
      <top/>
      <bottom/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5" borderId="0" xfId="0" applyFill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176" fontId="0" fillId="0" borderId="0" xfId="0" applyNumberFormat="1"/>
    <xf numFmtId="0" fontId="7" fillId="10" borderId="0" xfId="0" applyFont="1" applyFill="1"/>
    <xf numFmtId="0" fontId="4" fillId="2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  <xf numFmtId="177" fontId="0" fillId="0" borderId="0" xfId="0" applyNumberFormat="1"/>
    <xf numFmtId="176" fontId="12" fillId="0" borderId="0" xfId="1" applyNumberFormat="1" applyFont="1"/>
    <xf numFmtId="2" fontId="0" fillId="0" borderId="0" xfId="0" applyNumberFormat="1"/>
    <xf numFmtId="178" fontId="0" fillId="0" borderId="0" xfId="0" applyNumberFormat="1"/>
    <xf numFmtId="0" fontId="11" fillId="0" borderId="0" xfId="0" applyFont="1"/>
    <xf numFmtId="179" fontId="0" fillId="0" borderId="0" xfId="0" applyNumberFormat="1"/>
    <xf numFmtId="0" fontId="0" fillId="11" borderId="0" xfId="0" applyFill="1"/>
    <xf numFmtId="0" fontId="0" fillId="12" borderId="0" xfId="0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</cellXfs>
  <cellStyles count="3">
    <cellStyle name="常规" xfId="0" builtinId="0"/>
    <cellStyle name="常规 2" xfId="2" xr:uid="{25F58BA0-00E5-4BF3-B8AD-B38BC03BB442}"/>
    <cellStyle name="常规 3" xfId="1" xr:uid="{3E3A4173-1BE8-4A81-961F-4F18C94FFA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7" sqref="I37"/>
    </sheetView>
  </sheetViews>
  <sheetFormatPr defaultRowHeight="14" x14ac:dyDescent="0.3"/>
  <cols>
    <col min="1" max="2" width="8.6640625" style="2"/>
    <col min="14" max="14" width="8.9140625"/>
    <col min="29" max="31" width="7.4140625" bestFit="1" customWidth="1"/>
    <col min="35" max="35" width="11.25" customWidth="1"/>
    <col min="36" max="36" width="13.33203125" customWidth="1"/>
  </cols>
  <sheetData>
    <row r="1" spans="1:41" s="7" customFormat="1" ht="15.5" thickTop="1" thickBot="1" x14ac:dyDescent="0.35">
      <c r="A1" s="6"/>
      <c r="B1" s="6"/>
      <c r="C1" s="37" t="s">
        <v>44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18"/>
      <c r="O1" s="38" t="s">
        <v>46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12"/>
      <c r="AB1" s="13"/>
      <c r="AC1" s="14"/>
      <c r="AD1" s="33" t="s">
        <v>54</v>
      </c>
      <c r="AE1" s="33"/>
      <c r="AF1" s="33"/>
      <c r="AG1" s="34" t="s">
        <v>55</v>
      </c>
      <c r="AH1" s="34"/>
      <c r="AI1" s="34"/>
      <c r="AJ1" s="11"/>
      <c r="AK1" s="11"/>
      <c r="AL1" s="35" t="s">
        <v>58</v>
      </c>
      <c r="AM1" s="36"/>
      <c r="AN1" s="36"/>
      <c r="AO1" s="16"/>
    </row>
    <row r="2" spans="1:41" s="7" customFormat="1" ht="14.5" thickTop="1" x14ac:dyDescent="0.3">
      <c r="A2" s="6"/>
      <c r="B2" s="6"/>
      <c r="C2" s="28" t="s">
        <v>0</v>
      </c>
      <c r="D2" s="28"/>
      <c r="E2" s="28"/>
      <c r="F2" s="28"/>
      <c r="G2" s="28"/>
      <c r="H2" s="29" t="s">
        <v>1</v>
      </c>
      <c r="I2" s="29"/>
      <c r="J2" s="30" t="s">
        <v>2</v>
      </c>
      <c r="K2" s="30"/>
      <c r="L2" s="30"/>
      <c r="M2" s="30"/>
      <c r="N2" s="17"/>
      <c r="O2" s="28" t="s">
        <v>0</v>
      </c>
      <c r="P2" s="28"/>
      <c r="Q2" s="28"/>
      <c r="R2" s="28"/>
      <c r="S2" s="28"/>
      <c r="T2" s="29" t="s">
        <v>1</v>
      </c>
      <c r="U2" s="29"/>
      <c r="V2" s="30" t="s">
        <v>2</v>
      </c>
      <c r="W2" s="30"/>
      <c r="X2" s="30"/>
      <c r="Y2" s="30"/>
      <c r="Z2" s="30"/>
      <c r="AA2" s="1" t="s">
        <v>47</v>
      </c>
      <c r="AB2" s="1" t="s">
        <v>48</v>
      </c>
      <c r="AC2" s="1" t="s">
        <v>49</v>
      </c>
      <c r="AD2" s="8" t="s">
        <v>51</v>
      </c>
      <c r="AE2" s="8" t="s">
        <v>52</v>
      </c>
      <c r="AF2" s="8" t="s">
        <v>53</v>
      </c>
      <c r="AG2" s="8" t="s">
        <v>51</v>
      </c>
      <c r="AH2" s="8" t="s">
        <v>52</v>
      </c>
      <c r="AI2" s="8" t="s">
        <v>53</v>
      </c>
      <c r="AJ2" s="8" t="s">
        <v>56</v>
      </c>
      <c r="AK2" s="8" t="s">
        <v>57</v>
      </c>
      <c r="AL2" s="8" t="s">
        <v>59</v>
      </c>
      <c r="AM2" s="8" t="s">
        <v>60</v>
      </c>
      <c r="AN2" s="8" t="s">
        <v>61</v>
      </c>
      <c r="AO2" s="8" t="s">
        <v>71</v>
      </c>
    </row>
    <row r="3" spans="1:41" s="7" customFormat="1" x14ac:dyDescent="0.3">
      <c r="A3" s="32" t="s">
        <v>3</v>
      </c>
      <c r="B3" s="32"/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35</v>
      </c>
      <c r="L3" s="1" t="s">
        <v>36</v>
      </c>
      <c r="M3" s="1" t="s">
        <v>37</v>
      </c>
      <c r="N3" s="1" t="s">
        <v>40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41</v>
      </c>
      <c r="W3" s="1" t="s">
        <v>35</v>
      </c>
      <c r="X3" s="1" t="s">
        <v>36</v>
      </c>
      <c r="Y3" s="1" t="s">
        <v>37</v>
      </c>
      <c r="Z3" s="1" t="s">
        <v>40</v>
      </c>
      <c r="AA3" s="1"/>
      <c r="AB3" s="1" t="s">
        <v>62</v>
      </c>
      <c r="AC3" s="1" t="s">
        <v>62</v>
      </c>
      <c r="AD3" s="8" t="s">
        <v>50</v>
      </c>
      <c r="AE3" s="8" t="s">
        <v>50</v>
      </c>
      <c r="AF3" s="8" t="s">
        <v>50</v>
      </c>
      <c r="AG3" s="8" t="s">
        <v>50</v>
      </c>
      <c r="AH3" s="8" t="s">
        <v>50</v>
      </c>
      <c r="AI3" s="8" t="s">
        <v>50</v>
      </c>
      <c r="AJ3" s="9" t="s">
        <v>66</v>
      </c>
      <c r="AK3" s="9" t="s">
        <v>66</v>
      </c>
      <c r="AL3" s="1" t="s">
        <v>62</v>
      </c>
      <c r="AM3" s="1" t="s">
        <v>62</v>
      </c>
      <c r="AN3" s="1" t="s">
        <v>62</v>
      </c>
      <c r="AO3" s="1" t="s">
        <v>62</v>
      </c>
    </row>
    <row r="4" spans="1:41" x14ac:dyDescent="0.3">
      <c r="A4" s="31" t="s">
        <v>4</v>
      </c>
      <c r="B4" s="4" t="s">
        <v>5</v>
      </c>
      <c r="C4">
        <v>2.8910590704629899</v>
      </c>
      <c r="D4">
        <v>1.81784669801731</v>
      </c>
      <c r="E4">
        <v>10.252098596343201</v>
      </c>
      <c r="F4">
        <v>11.310006428104099</v>
      </c>
      <c r="G4">
        <v>37.561331333243501</v>
      </c>
      <c r="H4">
        <v>-15.0571867136461</v>
      </c>
      <c r="I4">
        <v>9.9278126096605899</v>
      </c>
      <c r="J4">
        <v>2.73578327628692E-2</v>
      </c>
      <c r="K4">
        <v>4.6320963397263902E-2</v>
      </c>
      <c r="L4">
        <v>0.10962819631588</v>
      </c>
      <c r="M4">
        <v>0.121491537576258</v>
      </c>
      <c r="N4">
        <v>0.83483158459505302</v>
      </c>
      <c r="O4">
        <v>6.6136557205743598</v>
      </c>
      <c r="P4">
        <v>4.31004249386356</v>
      </c>
      <c r="Q4">
        <v>8.6893377518383996</v>
      </c>
      <c r="R4">
        <v>9.2866533097654909</v>
      </c>
      <c r="S4">
        <v>42.7503342120093</v>
      </c>
      <c r="T4">
        <v>0.37493492063491302</v>
      </c>
      <c r="U4">
        <v>15.467733673351299</v>
      </c>
      <c r="V4">
        <v>0.101207895978651</v>
      </c>
      <c r="W4">
        <v>7.4852665045330197E-2</v>
      </c>
      <c r="X4">
        <v>9.4787286436275195E-2</v>
      </c>
      <c r="Y4">
        <v>0.154939282840242</v>
      </c>
      <c r="Z4">
        <v>1.16856098448837</v>
      </c>
      <c r="AA4">
        <v>4.76</v>
      </c>
      <c r="AB4">
        <v>0.33</v>
      </c>
      <c r="AC4">
        <v>6.45</v>
      </c>
      <c r="AD4" s="15">
        <v>5.7924984698906563</v>
      </c>
      <c r="AE4" s="15">
        <v>7.5523778866431182E-3</v>
      </c>
      <c r="AF4" s="15">
        <v>9.9949967011254923</v>
      </c>
      <c r="AG4" s="15">
        <v>1.1704237746112625</v>
      </c>
      <c r="AH4" s="15">
        <v>1.0484570770229639E-2</v>
      </c>
      <c r="AI4" s="15">
        <v>14.426542200927887</v>
      </c>
      <c r="AJ4">
        <v>0.49649677122741714</v>
      </c>
      <c r="AK4">
        <v>3.1834669422066519</v>
      </c>
      <c r="AL4">
        <v>0.72150000000000003</v>
      </c>
      <c r="AM4">
        <v>46.867999999999995</v>
      </c>
      <c r="AN4">
        <v>52.410499999999999</v>
      </c>
      <c r="AO4">
        <v>55.300555342095279</v>
      </c>
    </row>
    <row r="5" spans="1:41" x14ac:dyDescent="0.3">
      <c r="A5" s="31"/>
      <c r="B5" s="4" t="s">
        <v>6</v>
      </c>
      <c r="C5">
        <v>5.8800727209144696</v>
      </c>
      <c r="D5">
        <v>28.0645530509507</v>
      </c>
      <c r="E5">
        <v>20.3607140334272</v>
      </c>
      <c r="F5">
        <v>39.174359502817403</v>
      </c>
      <c r="G5">
        <v>11.367429608370699</v>
      </c>
      <c r="H5">
        <v>66.209165009869693</v>
      </c>
      <c r="I5">
        <v>7.23902495415998</v>
      </c>
      <c r="J5">
        <v>9.2670398819359998E-2</v>
      </c>
      <c r="K5">
        <v>0.52518114287472295</v>
      </c>
      <c r="L5">
        <v>7.7612636431763096E-2</v>
      </c>
      <c r="M5">
        <v>0.50008688783181499</v>
      </c>
      <c r="N5">
        <v>0.46350650172539498</v>
      </c>
      <c r="O5">
        <v>6.52813587122185</v>
      </c>
      <c r="P5">
        <v>4.6843122467035698</v>
      </c>
      <c r="Q5">
        <v>8.0008373595428797</v>
      </c>
      <c r="R5">
        <v>9.73615672530849</v>
      </c>
      <c r="S5">
        <v>36.585992584575102</v>
      </c>
      <c r="T5">
        <v>0.73773587301586796</v>
      </c>
      <c r="U5">
        <v>14.245698715145201</v>
      </c>
      <c r="V5">
        <v>0.100436190782413</v>
      </c>
      <c r="W5">
        <v>9.4622265293211202E-2</v>
      </c>
      <c r="X5">
        <v>8.8630088419273098E-2</v>
      </c>
      <c r="Y5">
        <v>0.18285319563410399</v>
      </c>
      <c r="Z5">
        <v>1.0612632272714799</v>
      </c>
      <c r="AA5">
        <v>5.0199999999999996</v>
      </c>
      <c r="AB5">
        <v>0.35</v>
      </c>
      <c r="AC5">
        <v>6.27</v>
      </c>
      <c r="AD5" s="15">
        <v>26.709965984759108</v>
      </c>
      <c r="AE5" s="15">
        <v>1.0180195611798834E-3</v>
      </c>
      <c r="AF5" s="15">
        <v>2.2346997250217355</v>
      </c>
      <c r="AG5" s="15">
        <v>22.805766460524048</v>
      </c>
      <c r="AH5" s="15">
        <v>5.8516696913622299E-3</v>
      </c>
      <c r="AI5" s="15">
        <v>6.1756356364486464</v>
      </c>
      <c r="AJ5">
        <v>-1.1187302067518021</v>
      </c>
      <c r="AK5">
        <v>-1.052670012932148</v>
      </c>
      <c r="AL5">
        <v>0.78549999999999998</v>
      </c>
      <c r="AM5">
        <v>52.817999999999998</v>
      </c>
      <c r="AN5">
        <v>44.692000000000007</v>
      </c>
      <c r="AO5">
        <v>58.338500054663214</v>
      </c>
    </row>
    <row r="6" spans="1:41" x14ac:dyDescent="0.3">
      <c r="A6" s="31"/>
      <c r="B6" s="4" t="s">
        <v>7</v>
      </c>
      <c r="C6">
        <v>5.1584713731079104</v>
      </c>
      <c r="D6">
        <v>15.358124572828601</v>
      </c>
      <c r="E6">
        <v>19.993679358632502</v>
      </c>
      <c r="F6">
        <v>29.279231981948602</v>
      </c>
      <c r="G6">
        <v>11.888958399566899</v>
      </c>
      <c r="H6">
        <v>-9.8632839390333693</v>
      </c>
      <c r="I6">
        <v>8.3883245384584608</v>
      </c>
      <c r="J6">
        <v>4.6050531470209002E-2</v>
      </c>
      <c r="K6">
        <v>0.10092301544877801</v>
      </c>
      <c r="L6">
        <v>4.3197444378751698E-2</v>
      </c>
      <c r="M6">
        <v>6.76849406770762E-2</v>
      </c>
      <c r="N6">
        <v>0.39846107485490401</v>
      </c>
      <c r="O6">
        <v>7.2558355345381402</v>
      </c>
      <c r="P6">
        <v>6.0000774939619097</v>
      </c>
      <c r="Q6">
        <v>8.8796492940875904</v>
      </c>
      <c r="R6">
        <v>10.943033313467099</v>
      </c>
      <c r="S6">
        <v>327.04247191346599</v>
      </c>
      <c r="T6">
        <v>1.0813596491227999</v>
      </c>
      <c r="U6">
        <v>128.77835863627999</v>
      </c>
      <c r="V6">
        <v>9.5027393770974994E-2</v>
      </c>
      <c r="W6">
        <v>0.146831289900686</v>
      </c>
      <c r="X6">
        <v>9.8378270011640206E-2</v>
      </c>
      <c r="Y6">
        <v>0.24459433715633799</v>
      </c>
      <c r="Z6">
        <v>9.6504867587487304</v>
      </c>
      <c r="AA6">
        <v>5.55</v>
      </c>
      <c r="AB6">
        <v>0.23</v>
      </c>
      <c r="AC6">
        <v>4.2300000000000004</v>
      </c>
      <c r="AD6" s="15">
        <v>7.2035879382000223</v>
      </c>
      <c r="AE6" s="15">
        <v>0.19740857018948493</v>
      </c>
      <c r="AF6" s="15">
        <v>1.0337969812887347</v>
      </c>
      <c r="AG6" s="15">
        <v>5.9361003692201075</v>
      </c>
      <c r="AH6" s="15">
        <v>0.11746919318063147</v>
      </c>
      <c r="AI6" s="15">
        <v>6.312594566764524</v>
      </c>
      <c r="AJ6">
        <v>1.5689658935734851</v>
      </c>
      <c r="AK6">
        <v>1.3990308731935832</v>
      </c>
      <c r="AL6">
        <v>0.64700000000000002</v>
      </c>
      <c r="AM6">
        <v>38.110500000000002</v>
      </c>
      <c r="AN6">
        <v>60.357500000000002</v>
      </c>
      <c r="AO6">
        <v>33.757726725496795</v>
      </c>
    </row>
    <row r="7" spans="1:41" x14ac:dyDescent="0.3">
      <c r="A7" s="31"/>
      <c r="B7" s="4" t="s">
        <v>8</v>
      </c>
      <c r="C7">
        <v>22.159835181942402</v>
      </c>
      <c r="D7">
        <v>34.841618503660598</v>
      </c>
      <c r="E7">
        <v>16.5208400962713</v>
      </c>
      <c r="F7">
        <v>46.145093148886303</v>
      </c>
      <c r="G7">
        <v>30.390150300962802</v>
      </c>
      <c r="H7">
        <v>-1.1090933740576099E-2</v>
      </c>
      <c r="I7">
        <v>16.5371877896436</v>
      </c>
      <c r="J7">
        <v>0.246660938132581</v>
      </c>
      <c r="K7">
        <v>0.56828379804782803</v>
      </c>
      <c r="L7">
        <v>4.9006661205381503E-2</v>
      </c>
      <c r="M7">
        <v>0.51324315455872005</v>
      </c>
      <c r="N7">
        <v>0.85134792450378705</v>
      </c>
      <c r="O7">
        <v>5.0349355440802901</v>
      </c>
      <c r="P7">
        <v>2.2693218036109601</v>
      </c>
      <c r="Q7">
        <v>7.7141047520320098</v>
      </c>
      <c r="R7">
        <v>8.33352760104178</v>
      </c>
      <c r="S7">
        <v>58.604770613352599</v>
      </c>
      <c r="T7">
        <v>-1.8754274336283201</v>
      </c>
      <c r="U7">
        <v>12.905137920339</v>
      </c>
      <c r="V7">
        <v>2.52833826460423E-2</v>
      </c>
      <c r="W7">
        <v>7.2732239866231396E-2</v>
      </c>
      <c r="X7">
        <v>-6.3393235242143603E-2</v>
      </c>
      <c r="Y7">
        <v>1.5205433069103999E-2</v>
      </c>
      <c r="Z7">
        <v>1.0506487687399499</v>
      </c>
      <c r="AA7">
        <v>6.88</v>
      </c>
      <c r="AB7">
        <v>0.18</v>
      </c>
      <c r="AC7">
        <v>3.12</v>
      </c>
      <c r="AD7" s="15">
        <v>0.79098650527420189</v>
      </c>
      <c r="AE7" s="15">
        <v>0.15488821976078671</v>
      </c>
      <c r="AF7" s="15">
        <v>1.2760154369825658</v>
      </c>
      <c r="AG7" s="15">
        <v>1.7646985451804904</v>
      </c>
      <c r="AH7" s="15">
        <v>0.10875337337860187</v>
      </c>
      <c r="AI7" s="15">
        <v>7.5137421614999846</v>
      </c>
      <c r="AJ7">
        <v>-0.24475671436716342</v>
      </c>
      <c r="AK7">
        <v>-0.39036905651267745</v>
      </c>
      <c r="AL7">
        <v>0.39850000000000002</v>
      </c>
      <c r="AM7">
        <v>42.919000000000004</v>
      </c>
      <c r="AN7">
        <v>56.682499999999997</v>
      </c>
      <c r="AO7">
        <v>3.2874897938992476</v>
      </c>
    </row>
    <row r="8" spans="1:41" x14ac:dyDescent="0.3">
      <c r="A8" s="31"/>
      <c r="B8" s="4" t="s">
        <v>9</v>
      </c>
      <c r="C8">
        <v>3.8154143797834998</v>
      </c>
      <c r="D8">
        <v>17.6887494674226</v>
      </c>
      <c r="E8">
        <v>23.4520921895983</v>
      </c>
      <c r="F8">
        <v>19.722610369180501</v>
      </c>
      <c r="G8">
        <v>15.8561190012875</v>
      </c>
      <c r="H8">
        <v>-16.846565188278799</v>
      </c>
      <c r="I8">
        <v>6.7657058095817399</v>
      </c>
      <c r="J8">
        <v>3.5515316396125103E-2</v>
      </c>
      <c r="K8">
        <v>-0.30383243753505501</v>
      </c>
      <c r="L8">
        <v>0.10857719017982299</v>
      </c>
      <c r="M8">
        <v>-0.37404526333410298</v>
      </c>
      <c r="N8">
        <v>0.59231284502880199</v>
      </c>
      <c r="O8">
        <v>4.0629225286891897</v>
      </c>
      <c r="P8">
        <v>4.6420236945111997</v>
      </c>
      <c r="Q8">
        <v>8.6182084184678001</v>
      </c>
      <c r="R8">
        <v>13.0209359865756</v>
      </c>
      <c r="S8">
        <v>36.979444413951903</v>
      </c>
      <c r="T8">
        <v>-2.0379597777777798</v>
      </c>
      <c r="U8">
        <v>11.042011752547401</v>
      </c>
      <c r="V8">
        <v>-6.6933998045050999E-2</v>
      </c>
      <c r="W8">
        <v>0.10835633871559799</v>
      </c>
      <c r="X8">
        <v>0.10835633871559799</v>
      </c>
      <c r="Y8">
        <v>5.0778312316858698E-2</v>
      </c>
      <c r="Z8">
        <v>0.89292744653358203</v>
      </c>
      <c r="AA8">
        <v>5.48</v>
      </c>
      <c r="AB8">
        <v>0.51</v>
      </c>
      <c r="AC8">
        <v>11.54</v>
      </c>
      <c r="AD8" s="15">
        <v>11.332918071476772</v>
      </c>
      <c r="AE8" s="15">
        <v>8.4592694502898646E-3</v>
      </c>
      <c r="AF8" s="15">
        <v>3.1860620053713902</v>
      </c>
      <c r="AG8" s="15">
        <v>14.785892796715748</v>
      </c>
      <c r="AH8" s="15">
        <v>3.175232893189371E-3</v>
      </c>
      <c r="AI8" s="15">
        <v>11.969294302598591</v>
      </c>
      <c r="AJ8">
        <v>2.0592343621942768</v>
      </c>
      <c r="AK8">
        <v>2.9675097127491932</v>
      </c>
      <c r="AL8" t="s">
        <v>65</v>
      </c>
      <c r="AM8" t="s">
        <v>65</v>
      </c>
      <c r="AN8" t="s">
        <v>65</v>
      </c>
      <c r="AO8">
        <v>24.437646159094299</v>
      </c>
    </row>
    <row r="9" spans="1:41" x14ac:dyDescent="0.3">
      <c r="A9" s="31"/>
      <c r="B9" s="4" t="s">
        <v>10</v>
      </c>
      <c r="C9">
        <v>7.6094855025096102</v>
      </c>
      <c r="D9">
        <v>29.6952965791126</v>
      </c>
      <c r="E9">
        <v>12.500801969798699</v>
      </c>
      <c r="F9">
        <v>33.5674887142507</v>
      </c>
      <c r="G9">
        <v>16.592481954024901</v>
      </c>
      <c r="H9">
        <v>242.20785975028201</v>
      </c>
      <c r="I9">
        <v>8.6784722102854506</v>
      </c>
      <c r="J9">
        <v>0.13457299718495599</v>
      </c>
      <c r="K9">
        <v>0.622300966167181</v>
      </c>
      <c r="L9">
        <v>0.10984278210987899</v>
      </c>
      <c r="M9">
        <v>0.58957340458153695</v>
      </c>
      <c r="N9">
        <v>0.73476710422133895</v>
      </c>
      <c r="O9">
        <v>3.8144224504865099</v>
      </c>
      <c r="P9">
        <v>3.60046888249965</v>
      </c>
      <c r="Q9">
        <v>11.820314077633</v>
      </c>
      <c r="R9">
        <v>14.4360934408174</v>
      </c>
      <c r="S9">
        <v>36.637720175143102</v>
      </c>
      <c r="T9">
        <v>-1.8724674778761099</v>
      </c>
      <c r="U9">
        <v>10.9399733601146</v>
      </c>
      <c r="V9">
        <v>3.2141592332920799E-2</v>
      </c>
      <c r="W9">
        <v>9.3437603884367504E-2</v>
      </c>
      <c r="X9">
        <v>-6.2334273663967002E-2</v>
      </c>
      <c r="Y9">
        <v>3.6031946112541298E-2</v>
      </c>
      <c r="Z9">
        <v>0.88467597178013602</v>
      </c>
      <c r="AA9">
        <v>5.08</v>
      </c>
      <c r="AB9">
        <v>1.08</v>
      </c>
      <c r="AC9">
        <v>22.3</v>
      </c>
      <c r="AD9" s="15">
        <v>36.503049530263567</v>
      </c>
      <c r="AE9" s="15">
        <v>3.4830155392719581E-3</v>
      </c>
      <c r="AF9" s="15">
        <v>6.3791327759206258</v>
      </c>
      <c r="AG9" s="15">
        <v>36.495728692848267</v>
      </c>
      <c r="AH9" s="15">
        <v>4.2919996977069767E-2</v>
      </c>
      <c r="AI9" s="15">
        <v>9.2736205316152507</v>
      </c>
      <c r="AJ9">
        <v>1.0760101104214559</v>
      </c>
      <c r="AK9">
        <v>0.82781481975545801</v>
      </c>
      <c r="AL9">
        <v>0.35699999999999998</v>
      </c>
      <c r="AM9">
        <v>30.658000000000001</v>
      </c>
      <c r="AN9">
        <v>63.003</v>
      </c>
      <c r="AO9">
        <v>108.03051177907183</v>
      </c>
    </row>
    <row r="10" spans="1:41" x14ac:dyDescent="0.3">
      <c r="A10" s="31"/>
      <c r="B10" s="4" t="s">
        <v>67</v>
      </c>
      <c r="C10">
        <v>4.9781160501955997</v>
      </c>
      <c r="D10">
        <v>11.680855464656</v>
      </c>
      <c r="E10">
        <v>22.374821693579701</v>
      </c>
      <c r="F10">
        <v>23.0400580182562</v>
      </c>
      <c r="G10">
        <v>6.1408980548889698</v>
      </c>
      <c r="H10">
        <v>-17.205855928583102</v>
      </c>
      <c r="I10">
        <v>1.04750650768727</v>
      </c>
      <c r="J10">
        <v>2.0652699682455599E-2</v>
      </c>
      <c r="K10">
        <v>2.0652699682455599E-2</v>
      </c>
      <c r="L10">
        <v>0.37016985690542298</v>
      </c>
      <c r="M10">
        <v>0.15758802425629201</v>
      </c>
      <c r="N10">
        <v>8.3460709288139007E-2</v>
      </c>
      <c r="O10">
        <v>4.2339000524415802</v>
      </c>
      <c r="P10">
        <v>6.8036168433699</v>
      </c>
      <c r="Q10">
        <v>11.838472560005201</v>
      </c>
      <c r="R10">
        <v>12.007662970070999</v>
      </c>
      <c r="S10">
        <v>39.897709183585697</v>
      </c>
      <c r="T10">
        <v>-2.90425338461539</v>
      </c>
      <c r="U10">
        <v>14.2923749091765</v>
      </c>
      <c r="V10">
        <v>1.21820439835406E-2</v>
      </c>
      <c r="W10">
        <v>0.11524890687495599</v>
      </c>
      <c r="X10">
        <v>-3.4935749155392999E-2</v>
      </c>
      <c r="Y10">
        <v>8.0567038254794596E-2</v>
      </c>
      <c r="Z10">
        <v>1.6582334394387801</v>
      </c>
      <c r="AA10">
        <v>7.18</v>
      </c>
      <c r="AB10">
        <v>0.05</v>
      </c>
      <c r="AC10">
        <v>0.64</v>
      </c>
      <c r="AD10" s="15">
        <v>4.3317922910845805</v>
      </c>
      <c r="AE10" s="15">
        <v>7.2604630263608336E-3</v>
      </c>
      <c r="AF10" s="15">
        <v>1.3396762904636554E-3</v>
      </c>
      <c r="AG10" s="15">
        <v>18.262460830458227</v>
      </c>
      <c r="AH10" s="15">
        <v>2.6801051134810891E-2</v>
      </c>
      <c r="AI10" s="15">
        <v>2.7743640540305492</v>
      </c>
      <c r="AJ10">
        <v>2.3094392812089786E-2</v>
      </c>
      <c r="AK10">
        <v>-1.0609012045702417</v>
      </c>
      <c r="AL10">
        <v>0.25750000000000001</v>
      </c>
      <c r="AM10">
        <v>27.916499999999999</v>
      </c>
      <c r="AN10">
        <v>71.825999999999993</v>
      </c>
      <c r="AO10">
        <v>5.5844306095198775</v>
      </c>
    </row>
    <row r="11" spans="1:41" x14ac:dyDescent="0.3">
      <c r="A11" s="31"/>
      <c r="B11" s="4" t="s">
        <v>68</v>
      </c>
      <c r="C11">
        <v>7.9125984547847201</v>
      </c>
      <c r="D11">
        <v>1.36742791456937</v>
      </c>
      <c r="E11">
        <v>11.065247393604899</v>
      </c>
      <c r="F11">
        <v>10.5755298808545</v>
      </c>
      <c r="G11">
        <v>19.854708614262499</v>
      </c>
      <c r="H11">
        <v>-15.3705068796185</v>
      </c>
      <c r="I11">
        <v>5.2432034452208596</v>
      </c>
      <c r="J11">
        <v>5.7746295677793803E-2</v>
      </c>
      <c r="K11">
        <v>-0.12934811908683899</v>
      </c>
      <c r="L11">
        <v>8.85432396461759E-2</v>
      </c>
      <c r="M11">
        <v>5.4676160862348798E-2</v>
      </c>
      <c r="N11">
        <v>0.43429763956963102</v>
      </c>
      <c r="O11">
        <v>4.5482401813055402</v>
      </c>
      <c r="P11">
        <v>12.398028432357499</v>
      </c>
      <c r="Q11">
        <v>9.4336751694392103</v>
      </c>
      <c r="R11">
        <v>12.841932788529</v>
      </c>
      <c r="S11">
        <v>547.83558845607001</v>
      </c>
      <c r="T11">
        <v>1.2542584745762699</v>
      </c>
      <c r="U11">
        <v>221.814728636295</v>
      </c>
      <c r="V11">
        <v>2.0849126147476901E-2</v>
      </c>
      <c r="W11">
        <v>0.15174055041887599</v>
      </c>
      <c r="X11">
        <v>5.2327153272338001E-2</v>
      </c>
      <c r="Y11">
        <v>0.203958841858216</v>
      </c>
      <c r="Z11">
        <v>18.794572451398999</v>
      </c>
      <c r="AA11">
        <v>6.92</v>
      </c>
      <c r="AB11">
        <v>0.06</v>
      </c>
      <c r="AC11">
        <v>0.87</v>
      </c>
      <c r="AD11" s="15">
        <v>1.3383669550871919</v>
      </c>
      <c r="AE11" s="15">
        <v>8.4863709694738054E-2</v>
      </c>
      <c r="AF11" s="15">
        <v>0.30858664556747173</v>
      </c>
      <c r="AG11" s="15">
        <v>10.13783079163421</v>
      </c>
      <c r="AH11" s="15">
        <v>3.081165298047776E-2</v>
      </c>
      <c r="AI11" s="15">
        <v>1.5423265341031425</v>
      </c>
      <c r="AJ11">
        <v>-0.33400249193316206</v>
      </c>
      <c r="AK11">
        <v>-0.41235866184407322</v>
      </c>
      <c r="AL11">
        <v>0.66249999999999998</v>
      </c>
      <c r="AM11">
        <v>86.598500000000001</v>
      </c>
      <c r="AN11">
        <v>12.738999999999997</v>
      </c>
      <c r="AO11">
        <v>7.5623436972792657</v>
      </c>
    </row>
    <row r="12" spans="1:41" x14ac:dyDescent="0.3">
      <c r="A12" s="31"/>
      <c r="B12" s="4" t="s">
        <v>69</v>
      </c>
      <c r="C12">
        <v>6.0984996372739504</v>
      </c>
      <c r="D12">
        <v>5.6313857497514297</v>
      </c>
      <c r="E12">
        <v>12.670495362134799</v>
      </c>
      <c r="F12">
        <v>10.984281540444799</v>
      </c>
      <c r="G12">
        <v>65.371736767753404</v>
      </c>
      <c r="H12">
        <v>-22.913773461872399</v>
      </c>
      <c r="I12">
        <v>24.496925133711699</v>
      </c>
      <c r="J12">
        <v>1.84686875970357E-2</v>
      </c>
      <c r="K12">
        <v>-0.32175688774025402</v>
      </c>
      <c r="L12">
        <v>1.7481093190508699E-2</v>
      </c>
      <c r="M12">
        <v>1.45663896337639E-2</v>
      </c>
      <c r="N12">
        <v>1.31161708619899</v>
      </c>
      <c r="O12">
        <v>4.1134502214722604</v>
      </c>
      <c r="P12">
        <v>6.8670749618290499</v>
      </c>
      <c r="Q12">
        <v>10.6054936825248</v>
      </c>
      <c r="R12">
        <v>11.6127098519906</v>
      </c>
      <c r="S12">
        <v>354.274707766706</v>
      </c>
      <c r="T12">
        <v>1.37626308510638</v>
      </c>
      <c r="U12">
        <v>148.09702132935899</v>
      </c>
      <c r="V12">
        <v>1.6586140064617099E-2</v>
      </c>
      <c r="W12">
        <v>9.8661580212924899E-2</v>
      </c>
      <c r="X12">
        <v>4.5744938400609302E-2</v>
      </c>
      <c r="Y12">
        <v>0.14205797459258299</v>
      </c>
      <c r="Z12">
        <v>12.5458528291873</v>
      </c>
      <c r="AA12">
        <v>7.3</v>
      </c>
      <c r="AB12">
        <v>0.02</v>
      </c>
      <c r="AC12">
        <v>0.25</v>
      </c>
      <c r="AD12" s="15">
        <v>1.4208656259001424</v>
      </c>
      <c r="AE12" s="15">
        <v>3.9107101468968146E-3</v>
      </c>
      <c r="AF12" s="15">
        <v>0.15462020567483137</v>
      </c>
      <c r="AG12" s="15">
        <v>13.457509462231773</v>
      </c>
      <c r="AH12" s="15">
        <v>0.52092963285625393</v>
      </c>
      <c r="AI12" s="15">
        <v>3.6115505828666263</v>
      </c>
      <c r="AJ12">
        <v>4.3975567181850916E-2</v>
      </c>
      <c r="AK12">
        <v>-5.4765459122219718E-3</v>
      </c>
      <c r="AL12">
        <v>0.27400000000000002</v>
      </c>
      <c r="AM12">
        <v>19.577999999999999</v>
      </c>
      <c r="AN12">
        <v>80.147999999999996</v>
      </c>
      <c r="AO12">
        <v>4.023189258460298</v>
      </c>
    </row>
    <row r="13" spans="1:41" x14ac:dyDescent="0.3">
      <c r="A13" s="31"/>
      <c r="B13" s="4" t="s">
        <v>70</v>
      </c>
      <c r="C13">
        <v>3.2306009725132401</v>
      </c>
      <c r="D13">
        <v>57.912299448006799</v>
      </c>
      <c r="E13">
        <v>6.7598135681609</v>
      </c>
      <c r="F13">
        <v>59.651515446793702</v>
      </c>
      <c r="G13">
        <v>3281.4071384449899</v>
      </c>
      <c r="H13">
        <v>-19.4820535037341</v>
      </c>
      <c r="I13">
        <v>2755.93462855383</v>
      </c>
      <c r="J13">
        <v>1.6045678950154799E-2</v>
      </c>
      <c r="K13">
        <v>0.39770095920905302</v>
      </c>
      <c r="L13">
        <v>5.2146858960998702E-2</v>
      </c>
      <c r="M13">
        <v>0.37543074725757403</v>
      </c>
      <c r="N13">
        <v>127.508818629864</v>
      </c>
      <c r="O13">
        <v>3.8733958703006901</v>
      </c>
      <c r="P13">
        <v>4.3826330163119103</v>
      </c>
      <c r="Q13">
        <v>10.032586499356499</v>
      </c>
      <c r="R13">
        <v>10.671331940745</v>
      </c>
      <c r="S13">
        <v>2626.4362266462099</v>
      </c>
      <c r="T13">
        <v>1.2134396186440599</v>
      </c>
      <c r="U13">
        <v>1168.9385804675801</v>
      </c>
      <c r="V13">
        <v>1.71433505392019E-2</v>
      </c>
      <c r="W13">
        <v>0.13740088440582701</v>
      </c>
      <c r="X13">
        <v>3.9623546574773197E-2</v>
      </c>
      <c r="Y13">
        <v>0.17177493843268701</v>
      </c>
      <c r="Z13">
        <v>99.085065987301903</v>
      </c>
      <c r="AA13">
        <v>8.16</v>
      </c>
      <c r="AB13">
        <v>0.15</v>
      </c>
      <c r="AC13">
        <v>1.99</v>
      </c>
      <c r="AD13" s="15">
        <v>7.692743182244171</v>
      </c>
      <c r="AE13" s="15">
        <v>1.3875454997275352</v>
      </c>
      <c r="AF13" s="15">
        <v>1.1023611013990877</v>
      </c>
      <c r="AG13" s="15">
        <v>3.5780891128737577</v>
      </c>
      <c r="AH13" s="15">
        <v>0.80488880235179328</v>
      </c>
      <c r="AI13" s="15">
        <v>2.9920954090736949</v>
      </c>
      <c r="AJ13">
        <v>1.7850468018539394</v>
      </c>
      <c r="AK13">
        <v>1.7030978420082548</v>
      </c>
      <c r="AL13">
        <v>0.51400000000000001</v>
      </c>
      <c r="AM13">
        <v>57.310500000000005</v>
      </c>
      <c r="AN13">
        <v>41.680999999999997</v>
      </c>
      <c r="AO13">
        <v>27.071329022235325</v>
      </c>
    </row>
    <row r="14" spans="1:41" x14ac:dyDescent="0.3">
      <c r="A14" s="31" t="s">
        <v>11</v>
      </c>
      <c r="B14" s="4" t="s">
        <v>12</v>
      </c>
      <c r="C14">
        <v>64.380897440480496</v>
      </c>
      <c r="D14">
        <v>261.50616015245703</v>
      </c>
      <c r="E14">
        <v>15.2081428713163</v>
      </c>
      <c r="F14">
        <v>268.59765699036899</v>
      </c>
      <c r="G14">
        <v>131.42894509085599</v>
      </c>
      <c r="H14">
        <v>29.645718333333299</v>
      </c>
      <c r="I14">
        <v>82.883801080217395</v>
      </c>
      <c r="J14">
        <v>1.2773253594242799</v>
      </c>
      <c r="K14">
        <v>3.7379330137612299</v>
      </c>
      <c r="L14">
        <v>0.21552132078118999</v>
      </c>
      <c r="M14">
        <v>3.6574927949062901</v>
      </c>
      <c r="N14">
        <v>4.8839032995544498</v>
      </c>
      <c r="O14">
        <v>3.1709140769851198</v>
      </c>
      <c r="P14">
        <v>6.4981953685107303</v>
      </c>
      <c r="Q14">
        <v>9.8089966794110701</v>
      </c>
      <c r="R14">
        <v>10.3917917666043</v>
      </c>
      <c r="S14">
        <v>64.541675259632299</v>
      </c>
      <c r="T14">
        <v>-0.96215594262295601</v>
      </c>
      <c r="U14">
        <v>30.233142895622201</v>
      </c>
      <c r="V14">
        <v>2.36479073658802E-2</v>
      </c>
      <c r="W14">
        <v>7.2150277906770297E-2</v>
      </c>
      <c r="X14">
        <v>-2.3820767437942501E-2</v>
      </c>
      <c r="Y14">
        <v>4.5645586100124098E-2</v>
      </c>
      <c r="Z14">
        <v>1.3030986026617699</v>
      </c>
      <c r="AA14">
        <v>5.05</v>
      </c>
      <c r="AB14">
        <v>0.77</v>
      </c>
      <c r="AC14">
        <v>10.79</v>
      </c>
      <c r="AD14" s="15">
        <v>58.073693835189594</v>
      </c>
      <c r="AE14" s="15">
        <v>5.4526585301004744E-2</v>
      </c>
      <c r="AF14" s="15">
        <v>79.2943311137075</v>
      </c>
      <c r="AG14" s="15">
        <v>3.026550434975869</v>
      </c>
      <c r="AH14" s="15">
        <v>2.0900697535090718E-2</v>
      </c>
      <c r="AI14" s="15">
        <v>1.8932037401574797</v>
      </c>
      <c r="AJ14">
        <v>-0.2998196334890143</v>
      </c>
      <c r="AK14">
        <v>-0.46167505291262906</v>
      </c>
      <c r="AL14">
        <v>1.1034999999999999</v>
      </c>
      <c r="AM14">
        <v>58.926000000000002</v>
      </c>
      <c r="AN14">
        <v>37.810500000000005</v>
      </c>
      <c r="AO14">
        <v>38.530587200986375</v>
      </c>
    </row>
    <row r="15" spans="1:41" x14ac:dyDescent="0.3">
      <c r="A15" s="31"/>
      <c r="B15" s="4" t="s">
        <v>13</v>
      </c>
      <c r="C15">
        <v>2.76834575916393</v>
      </c>
      <c r="D15">
        <v>2.6978922537660299</v>
      </c>
      <c r="E15">
        <v>13.366329682432299</v>
      </c>
      <c r="F15">
        <v>13.655057754093599</v>
      </c>
      <c r="G15">
        <v>45.4204641368922</v>
      </c>
      <c r="H15">
        <v>311.57362668782201</v>
      </c>
      <c r="I15">
        <v>11.732413417003</v>
      </c>
      <c r="J15">
        <v>2.99030831555601E-2</v>
      </c>
      <c r="K15">
        <v>4.6522955956465502E-2</v>
      </c>
      <c r="L15">
        <v>5.1180808789543501E-2</v>
      </c>
      <c r="M15">
        <v>5.8127858340751203E-2</v>
      </c>
      <c r="N15">
        <v>0.76752863349547495</v>
      </c>
      <c r="O15">
        <v>3.7184906883396298</v>
      </c>
      <c r="P15">
        <v>1.9593169071143799</v>
      </c>
      <c r="Q15">
        <v>9.7625165571764292</v>
      </c>
      <c r="R15">
        <v>10.695246162254399</v>
      </c>
      <c r="S15">
        <v>64.199506007096105</v>
      </c>
      <c r="T15">
        <v>7.39638483606557</v>
      </c>
      <c r="U15">
        <v>30.0728611572756</v>
      </c>
      <c r="V15">
        <v>2.7868448593607299E-2</v>
      </c>
      <c r="W15">
        <v>5.4999759800806902E-2</v>
      </c>
      <c r="X15">
        <v>4.88539179592677E-3</v>
      </c>
      <c r="Y15">
        <v>5.2168920519051497E-2</v>
      </c>
      <c r="Z15">
        <v>1.2961901939001399</v>
      </c>
      <c r="AA15">
        <v>5.34</v>
      </c>
      <c r="AB15">
        <v>0.31</v>
      </c>
      <c r="AC15">
        <v>4.34</v>
      </c>
      <c r="AD15" s="15">
        <v>9.4877786443131207</v>
      </c>
      <c r="AE15" s="15">
        <v>4.1210328956797944E-3</v>
      </c>
      <c r="AF15" s="15">
        <v>4.1137520906057281</v>
      </c>
      <c r="AG15" s="15">
        <v>0.91327769888083832</v>
      </c>
      <c r="AH15" s="15">
        <v>2.3829190035055851E-2</v>
      </c>
      <c r="AI15" s="15">
        <v>1.5449510947817851</v>
      </c>
      <c r="AJ15">
        <v>-1.3480381647298612</v>
      </c>
      <c r="AK15">
        <v>-2.8062190261878266</v>
      </c>
      <c r="AL15">
        <v>0.48799999999999999</v>
      </c>
      <c r="AM15">
        <v>59.760000000000005</v>
      </c>
      <c r="AN15">
        <v>39.751999999999995</v>
      </c>
      <c r="AO15">
        <v>77.818471680312626</v>
      </c>
    </row>
    <row r="16" spans="1:41" x14ac:dyDescent="0.3">
      <c r="A16" s="31"/>
      <c r="B16" s="4" t="s">
        <v>14</v>
      </c>
      <c r="C16">
        <v>4.9281969410985003</v>
      </c>
      <c r="D16">
        <v>16.8883152093516</v>
      </c>
      <c r="E16">
        <v>15.270743278978699</v>
      </c>
      <c r="F16">
        <v>25.548354055266699</v>
      </c>
      <c r="G16">
        <v>28.690864603359699</v>
      </c>
      <c r="H16">
        <v>4.7401766247283499</v>
      </c>
      <c r="I16">
        <v>6.8409154540771899</v>
      </c>
      <c r="J16">
        <v>6.3300472801238905E-2</v>
      </c>
      <c r="K16">
        <v>0.27249384885533001</v>
      </c>
      <c r="L16">
        <v>7.9902860078995594E-2</v>
      </c>
      <c r="M16">
        <v>0.27252576633442199</v>
      </c>
      <c r="N16">
        <v>0.48897369073339703</v>
      </c>
      <c r="O16">
        <v>3.0132252284997598</v>
      </c>
      <c r="P16">
        <v>9.5807651418734192</v>
      </c>
      <c r="Q16">
        <v>11.956002920680101</v>
      </c>
      <c r="R16">
        <v>16.715749299798102</v>
      </c>
      <c r="S16">
        <v>64.928685688445398</v>
      </c>
      <c r="T16">
        <v>15.8684516393443</v>
      </c>
      <c r="U16">
        <v>36.293726911722402</v>
      </c>
      <c r="V16">
        <v>2.4767590443260701E-2</v>
      </c>
      <c r="W16">
        <v>0.21624380516099001</v>
      </c>
      <c r="X16">
        <v>-3.46425426317774E-3</v>
      </c>
      <c r="Y16">
        <v>0.21657379600948401</v>
      </c>
      <c r="Z16">
        <v>1.58595094457634</v>
      </c>
      <c r="AA16">
        <v>5.08</v>
      </c>
      <c r="AB16">
        <v>0.33</v>
      </c>
      <c r="AC16">
        <v>4.54</v>
      </c>
      <c r="AD16" s="15">
        <v>6.5993597112715641</v>
      </c>
      <c r="AE16" s="15">
        <v>-2.559663603862746E-3</v>
      </c>
      <c r="AF16" s="15">
        <v>1.0722309169252615</v>
      </c>
      <c r="AG16" s="15">
        <v>0.716696982256534</v>
      </c>
      <c r="AH16" s="15">
        <v>2.6294215668192799E-2</v>
      </c>
      <c r="AI16" s="15">
        <v>1.4887602911295188</v>
      </c>
      <c r="AJ16">
        <v>-5.7952822038939598</v>
      </c>
      <c r="AK16">
        <v>-5.8273872739824935</v>
      </c>
      <c r="AL16">
        <v>1.2210000000000001</v>
      </c>
      <c r="AM16">
        <v>82.504999999999995</v>
      </c>
      <c r="AN16">
        <v>16.274000000000001</v>
      </c>
      <c r="AO16">
        <v>55.217299806457142</v>
      </c>
    </row>
    <row r="17" spans="1:41" x14ac:dyDescent="0.3">
      <c r="A17" s="31"/>
      <c r="B17" s="4" t="s">
        <v>15</v>
      </c>
      <c r="C17">
        <v>6.0063316933758504</v>
      </c>
      <c r="D17">
        <v>15.296920271430199</v>
      </c>
      <c r="E17">
        <v>12.586812087853501</v>
      </c>
      <c r="F17">
        <v>24.529670161401299</v>
      </c>
      <c r="G17">
        <v>34.814485843230699</v>
      </c>
      <c r="H17">
        <v>-13.846015858822399</v>
      </c>
      <c r="I17">
        <v>9.2238317479349696</v>
      </c>
      <c r="J17">
        <v>9.3878361113928097E-2</v>
      </c>
      <c r="K17">
        <v>0.33013573166250798</v>
      </c>
      <c r="L17">
        <v>0.19674055306466101</v>
      </c>
      <c r="M17">
        <v>0.45864670837459298</v>
      </c>
      <c r="N17">
        <v>0.66333136435495199</v>
      </c>
      <c r="O17">
        <v>3.7354371531395798</v>
      </c>
      <c r="P17">
        <v>23.065005729097798</v>
      </c>
      <c r="Q17">
        <v>11.040247183107899</v>
      </c>
      <c r="R17">
        <v>28.881760597932701</v>
      </c>
      <c r="S17">
        <v>45.016875856287101</v>
      </c>
      <c r="T17">
        <v>0.270792307692303</v>
      </c>
      <c r="U17">
        <v>16.716955609459301</v>
      </c>
      <c r="V17">
        <v>2.7414450383423199E-2</v>
      </c>
      <c r="W17">
        <v>0.44612190680345298</v>
      </c>
      <c r="X17">
        <v>-5.5928634327699497E-2</v>
      </c>
      <c r="Y17">
        <v>0.38953755879277602</v>
      </c>
      <c r="Z17">
        <v>1.9414600802697699</v>
      </c>
      <c r="AA17">
        <v>4.87</v>
      </c>
      <c r="AB17">
        <v>0.63</v>
      </c>
      <c r="AC17">
        <v>9.81</v>
      </c>
      <c r="AD17" s="15">
        <v>17.886645530011609</v>
      </c>
      <c r="AE17" s="15">
        <v>-1.9619950892063561E-3</v>
      </c>
      <c r="AF17" s="15">
        <v>1.380635993087701</v>
      </c>
      <c r="AG17" s="15">
        <v>9.7417561287118399</v>
      </c>
      <c r="AH17" s="15">
        <v>0.95452242154285949</v>
      </c>
      <c r="AI17" s="15">
        <v>2.6547673822118196</v>
      </c>
      <c r="AJ17">
        <v>3.5567600982465075</v>
      </c>
      <c r="AK17">
        <v>1.8288750610325581</v>
      </c>
      <c r="AL17">
        <v>1.2435</v>
      </c>
      <c r="AM17">
        <v>78.511500000000012</v>
      </c>
      <c r="AN17">
        <v>20.244999999999997</v>
      </c>
      <c r="AO17">
        <v>69.417683592409318</v>
      </c>
    </row>
    <row r="18" spans="1:41" x14ac:dyDescent="0.3">
      <c r="A18" s="31"/>
      <c r="B18" s="4" t="s">
        <v>16</v>
      </c>
      <c r="C18">
        <v>19.071639815647099</v>
      </c>
      <c r="D18">
        <v>80.641125491249795</v>
      </c>
      <c r="E18">
        <v>17.317534783992102</v>
      </c>
      <c r="F18">
        <v>84.982118475646104</v>
      </c>
      <c r="G18">
        <v>10.574806897253399</v>
      </c>
      <c r="H18">
        <v>33.044192223851603</v>
      </c>
      <c r="I18">
        <v>5.2623424933827003</v>
      </c>
      <c r="J18">
        <v>0.381249757364854</v>
      </c>
      <c r="K18">
        <v>1.1753237759783699</v>
      </c>
      <c r="L18">
        <v>8.7869712882900505E-2</v>
      </c>
      <c r="M18">
        <v>1.07423855107761</v>
      </c>
      <c r="N18">
        <v>0.37262620287154802</v>
      </c>
      <c r="O18">
        <v>4.2178432932338703</v>
      </c>
      <c r="P18">
        <v>5.5254596275635102</v>
      </c>
      <c r="Q18">
        <v>10.0803167465714</v>
      </c>
      <c r="R18">
        <v>13.501915904066299</v>
      </c>
      <c r="S18">
        <v>38.594136285536401</v>
      </c>
      <c r="T18">
        <v>0.270792307692303</v>
      </c>
      <c r="U18">
        <v>15.806664210836701</v>
      </c>
      <c r="V18">
        <v>3.3745151799961501E-2</v>
      </c>
      <c r="W18">
        <v>0.20215149485352399</v>
      </c>
      <c r="X18">
        <v>-5.94079420706769E-2</v>
      </c>
      <c r="Y18">
        <v>0.156049069031065</v>
      </c>
      <c r="Z18">
        <v>1.83587179733679</v>
      </c>
      <c r="AA18">
        <v>5.09</v>
      </c>
      <c r="AB18">
        <v>0.81</v>
      </c>
      <c r="AC18">
        <v>14.83</v>
      </c>
      <c r="AD18" s="15">
        <v>10.677403760121139</v>
      </c>
      <c r="AE18" s="15">
        <v>-2.5359058317624152E-3</v>
      </c>
      <c r="AF18" s="15">
        <v>1.3530052664857335</v>
      </c>
      <c r="AG18" s="15">
        <v>0.72458947239524085</v>
      </c>
      <c r="AH18" s="15">
        <v>2.8704752584441801E-3</v>
      </c>
      <c r="AI18" s="15">
        <v>1.8093815842658809</v>
      </c>
      <c r="AJ18">
        <v>3.571506880179399</v>
      </c>
      <c r="AK18">
        <v>3.2930217275430089</v>
      </c>
      <c r="AL18">
        <v>1.0385</v>
      </c>
      <c r="AM18">
        <v>78.18950000000001</v>
      </c>
      <c r="AN18">
        <v>20.771999999999998</v>
      </c>
      <c r="AO18">
        <v>88.498679774962156</v>
      </c>
    </row>
    <row r="19" spans="1:41" x14ac:dyDescent="0.3">
      <c r="A19" s="31" t="s">
        <v>17</v>
      </c>
      <c r="B19" s="4" t="s">
        <v>18</v>
      </c>
      <c r="C19">
        <v>5.4741852896671199</v>
      </c>
      <c r="D19">
        <v>9.9346173837669909</v>
      </c>
      <c r="E19">
        <v>15.6084098612898</v>
      </c>
      <c r="F19">
        <v>15.5668590796208</v>
      </c>
      <c r="G19">
        <v>30.54508485565</v>
      </c>
      <c r="H19">
        <v>-6.9768488252858596</v>
      </c>
      <c r="I19">
        <v>7.51088972155602</v>
      </c>
      <c r="J19">
        <v>6.9756133815919899E-2</v>
      </c>
      <c r="K19">
        <v>0.141118809177181</v>
      </c>
      <c r="L19">
        <v>8.9496819449651294E-2</v>
      </c>
      <c r="M19">
        <v>0.174528842208269</v>
      </c>
      <c r="N19">
        <v>0.47924332617694898</v>
      </c>
      <c r="O19">
        <v>3.63083504834372</v>
      </c>
      <c r="P19">
        <v>1.94972342956982</v>
      </c>
      <c r="Q19">
        <v>10.892350004540001</v>
      </c>
      <c r="R19">
        <v>36.010429897193397</v>
      </c>
      <c r="S19">
        <v>153.88704727279199</v>
      </c>
      <c r="T19">
        <v>-43.399972471345599</v>
      </c>
      <c r="U19">
        <v>74.141462986884903</v>
      </c>
      <c r="V19">
        <v>2.4093241202560602E-2</v>
      </c>
      <c r="W19">
        <v>1.02878011125305E-2</v>
      </c>
      <c r="X19">
        <v>6.6530382786070597E-2</v>
      </c>
      <c r="Y19">
        <v>4.27537386449156E-2</v>
      </c>
      <c r="Z19">
        <v>4.1273754456860097</v>
      </c>
      <c r="AA19">
        <v>5.16</v>
      </c>
      <c r="AB19">
        <v>0.23</v>
      </c>
      <c r="AC19">
        <v>3.01</v>
      </c>
      <c r="AD19" s="15">
        <v>35.930728352669568</v>
      </c>
      <c r="AE19" s="15">
        <v>-1.4016810049640015E-3</v>
      </c>
      <c r="AF19" s="15">
        <v>-0.49840300298791212</v>
      </c>
      <c r="AG19" s="15">
        <v>3.0770731543011864</v>
      </c>
      <c r="AH19" s="15">
        <v>4.4124842072265878E-2</v>
      </c>
      <c r="AI19" s="15">
        <v>3.6408831790202845</v>
      </c>
      <c r="AJ19">
        <v>0.72872197411360118</v>
      </c>
      <c r="AK19">
        <v>0.74574294668125218</v>
      </c>
      <c r="AL19">
        <v>0.96750000000000003</v>
      </c>
      <c r="AM19">
        <v>54.399000000000001</v>
      </c>
      <c r="AN19">
        <v>44.598999999999997</v>
      </c>
      <c r="AO19">
        <v>30.055407414738148</v>
      </c>
    </row>
    <row r="20" spans="1:41" x14ac:dyDescent="0.3">
      <c r="A20" s="31"/>
      <c r="B20" s="4" t="s">
        <v>19</v>
      </c>
      <c r="C20">
        <v>8.1655346831163893</v>
      </c>
      <c r="D20">
        <v>18.044465709290598</v>
      </c>
      <c r="E20">
        <v>15.272962090719901</v>
      </c>
      <c r="F20">
        <v>18.420641556052502</v>
      </c>
      <c r="G20">
        <v>22.780041536728099</v>
      </c>
      <c r="H20">
        <v>-5.2744091056154998</v>
      </c>
      <c r="I20">
        <v>12.0581721159719</v>
      </c>
      <c r="J20">
        <v>7.4635493905753497E-2</v>
      </c>
      <c r="K20">
        <v>0.17119775683485999</v>
      </c>
      <c r="L20">
        <v>2.6711254501163299E-2</v>
      </c>
      <c r="M20">
        <v>0.139917494636708</v>
      </c>
      <c r="N20">
        <v>0.41604740515681599</v>
      </c>
      <c r="O20">
        <v>3.7476740900265799</v>
      </c>
      <c r="P20">
        <v>1.8296706770153901</v>
      </c>
      <c r="Q20">
        <v>10.768274115239</v>
      </c>
      <c r="R20">
        <v>8.6765136545432409</v>
      </c>
      <c r="S20">
        <v>153.88704727279199</v>
      </c>
      <c r="T20">
        <v>-38.645045945666801</v>
      </c>
      <c r="U20">
        <v>74.141462986884903</v>
      </c>
      <c r="V20">
        <v>3.22763521968569E-2</v>
      </c>
      <c r="W20">
        <v>1.09365817814756E-2</v>
      </c>
      <c r="X20">
        <v>6.3495496358022901E-2</v>
      </c>
      <c r="Y20">
        <v>3.0455603546047101E-2</v>
      </c>
      <c r="Z20">
        <v>4.1273754456860097</v>
      </c>
      <c r="AA20">
        <v>5.62</v>
      </c>
      <c r="AB20">
        <v>0.28999999999999998</v>
      </c>
      <c r="AC20">
        <v>3.47</v>
      </c>
      <c r="AD20" s="15">
        <v>35.184586736883247</v>
      </c>
      <c r="AE20" s="15">
        <v>3.1245906850589193E-3</v>
      </c>
      <c r="AF20" s="15">
        <v>0.31113452331253494</v>
      </c>
      <c r="AG20" s="15">
        <v>15.274708984714302</v>
      </c>
      <c r="AH20" s="15">
        <v>3.7222707589993381E-2</v>
      </c>
      <c r="AI20" s="15">
        <v>4.8847576817780682</v>
      </c>
      <c r="AJ20">
        <v>4.3483963951129061</v>
      </c>
      <c r="AK20">
        <v>4.4134448187991522</v>
      </c>
      <c r="AL20">
        <v>1.2865</v>
      </c>
      <c r="AM20">
        <v>73.053499999999985</v>
      </c>
      <c r="AN20">
        <v>25.660000000000004</v>
      </c>
      <c r="AO20">
        <v>33.960368173536679</v>
      </c>
    </row>
    <row r="21" spans="1:41" x14ac:dyDescent="0.3">
      <c r="A21" s="31"/>
      <c r="B21" s="4" t="s">
        <v>20</v>
      </c>
      <c r="C21">
        <v>21.904937756715999</v>
      </c>
      <c r="D21">
        <v>23.772872534239099</v>
      </c>
      <c r="E21">
        <v>17.444680175899101</v>
      </c>
      <c r="F21">
        <v>29.091164833958501</v>
      </c>
      <c r="G21">
        <v>185.02571387347299</v>
      </c>
      <c r="H21">
        <v>-11.361226034696999</v>
      </c>
      <c r="I21">
        <v>131.92757730282801</v>
      </c>
      <c r="J21">
        <v>0.20597587783186599</v>
      </c>
      <c r="K21">
        <v>0.29077222544033099</v>
      </c>
      <c r="L21">
        <v>3.7963555779302001E-2</v>
      </c>
      <c r="M21">
        <v>0.26607134021816198</v>
      </c>
      <c r="N21">
        <v>4.6873561884461301</v>
      </c>
      <c r="O21">
        <v>3.5964942443249202</v>
      </c>
      <c r="P21">
        <v>12.5128290551219</v>
      </c>
      <c r="Q21">
        <v>10.1946740897813</v>
      </c>
      <c r="R21">
        <v>20.233803434651701</v>
      </c>
      <c r="S21">
        <v>226.79723754533899</v>
      </c>
      <c r="T21">
        <v>-7.2348634683629403</v>
      </c>
      <c r="U21">
        <v>127.623726292504</v>
      </c>
      <c r="V21">
        <v>3.02475390529135E-2</v>
      </c>
      <c r="W21">
        <v>5.4911394970918397E-2</v>
      </c>
      <c r="X21">
        <v>3.8610636848025501E-2</v>
      </c>
      <c r="Y21">
        <v>9.6458425953743099E-2</v>
      </c>
      <c r="Z21">
        <v>7.1525671385307996</v>
      </c>
      <c r="AA21">
        <v>6.62</v>
      </c>
      <c r="AB21">
        <v>0.17</v>
      </c>
      <c r="AC21">
        <v>1.97</v>
      </c>
      <c r="AD21" s="15">
        <v>55.70730828584729</v>
      </c>
      <c r="AE21" s="15">
        <v>4.6204419877231187E-2</v>
      </c>
      <c r="AF21" s="15">
        <v>-0.60895816518283086</v>
      </c>
      <c r="AG21" s="15">
        <v>12.070105738138579</v>
      </c>
      <c r="AH21" s="15">
        <v>3.3610587181516429</v>
      </c>
      <c r="AI21" s="15">
        <v>4.178930451445857</v>
      </c>
      <c r="AJ21">
        <v>6.4793150525794418</v>
      </c>
      <c r="AK21">
        <v>6.4108615516883569</v>
      </c>
      <c r="AL21">
        <v>1.165</v>
      </c>
      <c r="AM21">
        <v>60.36</v>
      </c>
      <c r="AN21">
        <v>38.474999999999994</v>
      </c>
      <c r="AO21">
        <v>10.170764957580213</v>
      </c>
    </row>
    <row r="22" spans="1:41" x14ac:dyDescent="0.3">
      <c r="A22" s="31"/>
      <c r="B22" s="4" t="s">
        <v>21</v>
      </c>
      <c r="C22">
        <v>3.17691736259694</v>
      </c>
      <c r="D22">
        <v>2.9935509958097302</v>
      </c>
      <c r="E22">
        <v>16.844412653440202</v>
      </c>
      <c r="F22">
        <v>17.856124326141501</v>
      </c>
      <c r="G22">
        <v>9.0213228925267703</v>
      </c>
      <c r="H22">
        <v>-8.8630647833505094</v>
      </c>
      <c r="I22">
        <v>1.65965412847384</v>
      </c>
      <c r="J22">
        <v>1.88550194331416E-2</v>
      </c>
      <c r="K22">
        <v>2.6650759284126399E-2</v>
      </c>
      <c r="L22">
        <v>3.4510365054465197E-2</v>
      </c>
      <c r="M22">
        <v>4.7327609526629601E-2</v>
      </c>
      <c r="N22">
        <v>0.15145448851534901</v>
      </c>
      <c r="O22">
        <v>3.9457578814852501</v>
      </c>
      <c r="P22">
        <v>2.4705735182284001</v>
      </c>
      <c r="Q22">
        <v>13.3073582576106</v>
      </c>
      <c r="R22">
        <v>14.3457310205849</v>
      </c>
      <c r="S22">
        <v>83.4024520290032</v>
      </c>
      <c r="T22">
        <v>-1.9502618544601</v>
      </c>
      <c r="U22">
        <v>24.527346185549199</v>
      </c>
      <c r="V22">
        <v>6.22929578187158E-2</v>
      </c>
      <c r="W22">
        <v>5.8442679786719298E-2</v>
      </c>
      <c r="X22">
        <v>0.15608349079398101</v>
      </c>
      <c r="Y22">
        <v>0.20879321150515201</v>
      </c>
      <c r="Z22">
        <v>1.8515732382807299</v>
      </c>
      <c r="AA22">
        <v>6.79</v>
      </c>
      <c r="AB22">
        <v>7.0000000000000007E-2</v>
      </c>
      <c r="AC22">
        <v>0.7</v>
      </c>
      <c r="AD22" s="15">
        <v>2.2980084638012262E-2</v>
      </c>
      <c r="AE22" s="15">
        <v>2.3630345811904534E-2</v>
      </c>
      <c r="AF22" s="15">
        <v>-0.62552828282444106</v>
      </c>
      <c r="AG22" s="15">
        <v>3.0478053789222801</v>
      </c>
      <c r="AH22" s="15">
        <v>0.10847348916505098</v>
      </c>
      <c r="AI22" s="15">
        <v>6.7113870109931683E-3</v>
      </c>
      <c r="AJ22">
        <v>6.8990313960453228E-2</v>
      </c>
      <c r="AK22">
        <v>-4.6101166123104697E-3</v>
      </c>
      <c r="AL22">
        <v>0.32600000000000001</v>
      </c>
      <c r="AM22">
        <v>55.1875</v>
      </c>
      <c r="AN22">
        <v>44.011999999999993</v>
      </c>
      <c r="AO22">
        <v>20.060690333647855</v>
      </c>
    </row>
    <row r="23" spans="1:41" x14ac:dyDescent="0.3">
      <c r="A23" s="31"/>
      <c r="B23" s="4" t="s">
        <v>22</v>
      </c>
      <c r="C23">
        <v>12.6232105725955</v>
      </c>
      <c r="D23">
        <v>1.1803247447140099</v>
      </c>
      <c r="E23">
        <v>11.9026618473613</v>
      </c>
      <c r="F23">
        <v>12.1544346538062</v>
      </c>
      <c r="G23">
        <v>36.058707379995298</v>
      </c>
      <c r="H23">
        <v>16.698123431392201</v>
      </c>
      <c r="I23">
        <v>19.116979169636299</v>
      </c>
      <c r="J23">
        <v>2.5427997745415699E-2</v>
      </c>
      <c r="K23">
        <v>-0.67982235097390797</v>
      </c>
      <c r="L23">
        <v>3.7331727047438597E-2</v>
      </c>
      <c r="M23">
        <v>1.0906428256105201E-2</v>
      </c>
      <c r="N23">
        <v>1.13110158334027</v>
      </c>
      <c r="O23">
        <v>4.3628403992712501</v>
      </c>
      <c r="P23">
        <v>83.189024556342403</v>
      </c>
      <c r="Q23">
        <v>8.9128139931730406</v>
      </c>
      <c r="R23">
        <v>92.101838549515506</v>
      </c>
      <c r="S23">
        <v>408.142798214697</v>
      </c>
      <c r="T23">
        <v>-0.253723695652182</v>
      </c>
      <c r="U23">
        <v>135.67651760150201</v>
      </c>
      <c r="V23">
        <v>1.9491660368030201E-2</v>
      </c>
      <c r="W23">
        <v>0.36262649068694203</v>
      </c>
      <c r="X23">
        <v>1.9991151850234298E-2</v>
      </c>
      <c r="Y23">
        <v>0.38161914774041999</v>
      </c>
      <c r="Z23">
        <v>5.4632075086516503</v>
      </c>
      <c r="AA23">
        <v>6.5</v>
      </c>
      <c r="AB23">
        <v>0.12</v>
      </c>
      <c r="AC23">
        <v>1.23</v>
      </c>
      <c r="AD23" s="15">
        <v>20.537912043558283</v>
      </c>
      <c r="AE23" s="15">
        <v>2.7091362865468621E-2</v>
      </c>
      <c r="AF23" s="15">
        <v>0.36377086206016274</v>
      </c>
      <c r="AG23" s="15">
        <v>0</v>
      </c>
      <c r="AH23" s="15">
        <v>1.8684846852175203E-2</v>
      </c>
      <c r="AI23" s="15">
        <v>3.2525062553929032</v>
      </c>
      <c r="AJ23">
        <v>0.76016922915713692</v>
      </c>
      <c r="AK23">
        <v>-0.47283407922216775</v>
      </c>
      <c r="AL23">
        <v>1.1200000000000001</v>
      </c>
      <c r="AM23">
        <v>43.393500000000003</v>
      </c>
      <c r="AN23">
        <v>48.62</v>
      </c>
      <c r="AO23">
        <v>9.7131388540403769</v>
      </c>
    </row>
    <row r="24" spans="1:41" x14ac:dyDescent="0.3">
      <c r="A24" s="31"/>
      <c r="B24" s="4" t="s">
        <v>23</v>
      </c>
      <c r="C24">
        <v>3.2945808661271201</v>
      </c>
      <c r="D24">
        <v>20.481344262768499</v>
      </c>
      <c r="E24">
        <v>22.693649151481999</v>
      </c>
      <c r="F24">
        <v>26.9479339646916</v>
      </c>
      <c r="G24">
        <v>6.3799729424558702</v>
      </c>
      <c r="H24">
        <v>4.7978427900770901</v>
      </c>
      <c r="I24">
        <v>1.5619319988535201</v>
      </c>
      <c r="J24">
        <v>3.9144694416592997E-2</v>
      </c>
      <c r="K24">
        <v>0.21154169878534901</v>
      </c>
      <c r="L24">
        <v>0.16834143930918699</v>
      </c>
      <c r="M24">
        <v>0.27960150571301901</v>
      </c>
      <c r="N24">
        <v>0.126152699469329</v>
      </c>
      <c r="O24">
        <v>3.2394052090253802</v>
      </c>
      <c r="P24">
        <v>27.6679136592543</v>
      </c>
      <c r="Q24">
        <v>9.5117078537266604</v>
      </c>
      <c r="R24">
        <v>36.455948932001299</v>
      </c>
      <c r="S24">
        <v>310.39489560166999</v>
      </c>
      <c r="T24">
        <v>6.4122523913043397</v>
      </c>
      <c r="U24">
        <v>119.621904090706</v>
      </c>
      <c r="V24">
        <v>1.9810598023703298E-2</v>
      </c>
      <c r="W24">
        <v>0.44012526856840201</v>
      </c>
      <c r="X24">
        <v>2.5892769262062999E-2</v>
      </c>
      <c r="Y24">
        <v>0.46350586630268398</v>
      </c>
      <c r="Z24">
        <v>4.8683102643177598</v>
      </c>
      <c r="AA24">
        <v>6.48</v>
      </c>
      <c r="AB24">
        <v>0.19</v>
      </c>
      <c r="AC24">
        <v>2.66</v>
      </c>
      <c r="AD24" s="15">
        <v>9.4465582435046791</v>
      </c>
      <c r="AE24" s="15">
        <v>1.9821647582207079E-2</v>
      </c>
      <c r="AF24" s="15">
        <v>0.25669017027766444</v>
      </c>
      <c r="AG24" s="15">
        <v>0</v>
      </c>
      <c r="AH24" s="15">
        <v>-7.9034431155309084E-4</v>
      </c>
      <c r="AI24" s="15">
        <v>2.1246517800624489</v>
      </c>
      <c r="AJ24">
        <v>5.3880757306665368E-2</v>
      </c>
      <c r="AK24">
        <v>-0.83746389618370742</v>
      </c>
      <c r="AL24">
        <v>0.56299999999999994</v>
      </c>
      <c r="AM24">
        <v>51.218999999999994</v>
      </c>
      <c r="AN24">
        <v>46.811000000000007</v>
      </c>
      <c r="AO24">
        <v>9.40361771556422</v>
      </c>
    </row>
    <row r="25" spans="1:41" x14ac:dyDescent="0.3">
      <c r="A25" s="31"/>
      <c r="B25" s="4" t="s">
        <v>24</v>
      </c>
      <c r="C25">
        <v>235.14792319136799</v>
      </c>
      <c r="D25">
        <v>268.40799429236301</v>
      </c>
      <c r="E25">
        <v>43.7141895978124</v>
      </c>
      <c r="F25">
        <v>282.12750561898099</v>
      </c>
      <c r="G25">
        <v>20.718258509688699</v>
      </c>
      <c r="H25">
        <v>68.161347870718899</v>
      </c>
      <c r="I25">
        <v>11.015434239001101</v>
      </c>
      <c r="J25">
        <v>1.7653943508150101</v>
      </c>
      <c r="K25">
        <v>3.6558127623547101</v>
      </c>
      <c r="L25">
        <v>0.253991166548866</v>
      </c>
      <c r="M25">
        <v>3.5862494374782701</v>
      </c>
      <c r="N25">
        <v>0.565811415991196</v>
      </c>
      <c r="O25">
        <v>3.7563652843700099</v>
      </c>
      <c r="P25">
        <v>77.603406339163101</v>
      </c>
      <c r="Q25">
        <v>7.7491989889525401</v>
      </c>
      <c r="R25">
        <v>76.183296403553101</v>
      </c>
      <c r="S25">
        <v>611.721871308103</v>
      </c>
      <c r="T25">
        <v>5.1313593478260904</v>
      </c>
      <c r="U25">
        <v>139.88372315009801</v>
      </c>
      <c r="V25">
        <v>1.9510062404266299E-2</v>
      </c>
      <c r="W25">
        <v>0.80685877182150101</v>
      </c>
      <c r="X25">
        <v>2.6420790476714098E-2</v>
      </c>
      <c r="Y25">
        <v>0.83515545850289497</v>
      </c>
      <c r="Z25">
        <v>5.5585492229828999</v>
      </c>
      <c r="AA25">
        <v>6.65</v>
      </c>
      <c r="AB25">
        <v>0.23</v>
      </c>
      <c r="AC25">
        <v>2.84</v>
      </c>
      <c r="AD25" s="15">
        <v>13.689104011883495</v>
      </c>
      <c r="AE25" s="15">
        <v>0.20665625713590002</v>
      </c>
      <c r="AF25" s="15">
        <v>0.39616031252160677</v>
      </c>
      <c r="AG25" s="15">
        <v>53.385450628398026</v>
      </c>
      <c r="AH25" s="15">
        <v>-8.246127355031643E-4</v>
      </c>
      <c r="AI25" s="15">
        <v>166.27968503757515</v>
      </c>
      <c r="AJ25">
        <v>1.0429695091305717</v>
      </c>
      <c r="AK25">
        <v>0.92436194061167298</v>
      </c>
      <c r="AL25">
        <v>1.0044999999999999</v>
      </c>
      <c r="AM25">
        <v>57.704000000000001</v>
      </c>
      <c r="AN25">
        <v>39.653999999999996</v>
      </c>
      <c r="AO25">
        <v>19.204799407844018</v>
      </c>
    </row>
    <row r="26" spans="1:41" x14ac:dyDescent="0.3">
      <c r="A26" s="31"/>
      <c r="B26" s="4" t="s">
        <v>25</v>
      </c>
      <c r="C26">
        <v>47.029086028893602</v>
      </c>
      <c r="D26">
        <v>48.384214912089</v>
      </c>
      <c r="E26">
        <v>17.000361047200201</v>
      </c>
      <c r="F26">
        <v>47.987737353403702</v>
      </c>
      <c r="G26">
        <v>32.225564669469698</v>
      </c>
      <c r="H26">
        <v>-0.81428537234042597</v>
      </c>
      <c r="I26">
        <v>7.5209919428003396</v>
      </c>
      <c r="J26">
        <v>0.36784388282227398</v>
      </c>
      <c r="K26">
        <v>0.48412144864941098</v>
      </c>
      <c r="L26">
        <v>2.6921781835821799E-2</v>
      </c>
      <c r="M26">
        <v>0.39236699260302799</v>
      </c>
      <c r="N26">
        <v>0.62302367539835302</v>
      </c>
      <c r="O26">
        <v>4.3463436706981904</v>
      </c>
      <c r="P26">
        <v>36.010181241777701</v>
      </c>
      <c r="Q26">
        <v>10.004495473962701</v>
      </c>
      <c r="R26">
        <v>34.857478613215598</v>
      </c>
      <c r="S26">
        <v>201.19359923860799</v>
      </c>
      <c r="T26">
        <v>-0.70214119565217603</v>
      </c>
      <c r="U26">
        <v>38.232085436492298</v>
      </c>
      <c r="V26">
        <v>4.2892718330148703E-2</v>
      </c>
      <c r="W26">
        <v>0.45303483486888702</v>
      </c>
      <c r="X26">
        <v>-7.2052978220561503E-2</v>
      </c>
      <c r="Y26">
        <v>0.39369325060267801</v>
      </c>
      <c r="Z26">
        <v>3.1421411355808302</v>
      </c>
      <c r="AA26">
        <v>7.06</v>
      </c>
      <c r="AB26">
        <v>0.13</v>
      </c>
      <c r="AC26">
        <v>1.53</v>
      </c>
      <c r="AD26" s="15">
        <v>3.3760450625522145</v>
      </c>
      <c r="AE26" s="15">
        <v>0.85312430217240642</v>
      </c>
      <c r="AF26" s="15">
        <v>0.50754557596355954</v>
      </c>
      <c r="AG26" s="15">
        <v>4.7385962168802003</v>
      </c>
      <c r="AH26" s="15">
        <v>3.5900084520112188E-2</v>
      </c>
      <c r="AI26" s="15">
        <v>12.459411365661815</v>
      </c>
      <c r="AJ26">
        <v>-1.2858733331512009</v>
      </c>
      <c r="AK26">
        <v>-1.3772383025398078</v>
      </c>
      <c r="AL26">
        <v>0.78</v>
      </c>
      <c r="AM26">
        <v>51.419499999999999</v>
      </c>
      <c r="AN26">
        <v>47.8005</v>
      </c>
      <c r="AO26">
        <v>5.4343386375156255</v>
      </c>
    </row>
    <row r="27" spans="1:41" x14ac:dyDescent="0.3">
      <c r="A27" s="31" t="s">
        <v>26</v>
      </c>
      <c r="B27" s="4" t="s">
        <v>27</v>
      </c>
      <c r="C27">
        <v>2.5240354731067298</v>
      </c>
      <c r="D27">
        <v>4.9384350537017303</v>
      </c>
      <c r="E27">
        <v>10.0211925924525</v>
      </c>
      <c r="F27">
        <v>12.570183465029601</v>
      </c>
      <c r="G27">
        <v>93.888478665451103</v>
      </c>
      <c r="H27">
        <v>-14.6971201588171</v>
      </c>
      <c r="I27">
        <v>21.115178110374</v>
      </c>
      <c r="J27">
        <v>1.9696421184491299E-2</v>
      </c>
      <c r="K27">
        <v>5.8573303660032897E-2</v>
      </c>
      <c r="L27">
        <v>3.9218811511080101E-2</v>
      </c>
      <c r="M27">
        <v>6.3968894133201906E-2</v>
      </c>
      <c r="N27">
        <v>0.83090450317772002</v>
      </c>
      <c r="O27">
        <v>3.3459636272852502</v>
      </c>
      <c r="P27">
        <v>2.5173840323011998</v>
      </c>
      <c r="Q27">
        <v>15.3765672070538</v>
      </c>
      <c r="R27">
        <v>15.3263233636841</v>
      </c>
      <c r="S27">
        <v>96.081804114361603</v>
      </c>
      <c r="T27">
        <v>-84.227131703898195</v>
      </c>
      <c r="U27">
        <v>49.352714211892099</v>
      </c>
      <c r="V27">
        <v>2.5763375133507401E-2</v>
      </c>
      <c r="W27">
        <v>4.9761757879801097E-2</v>
      </c>
      <c r="X27">
        <v>-1.0764799854738201E-2</v>
      </c>
      <c r="Y27">
        <v>4.16250617850943E-2</v>
      </c>
      <c r="Z27">
        <v>2.24841367439929</v>
      </c>
      <c r="AA27">
        <v>8.0500000000000007</v>
      </c>
      <c r="AB27">
        <v>0.24</v>
      </c>
      <c r="AC27">
        <v>3.85</v>
      </c>
      <c r="AD27" s="15">
        <v>2.1290915741491294</v>
      </c>
      <c r="AE27" s="15">
        <v>5.221350138980143E-3</v>
      </c>
      <c r="AF27" s="15">
        <v>0.90069909248178703</v>
      </c>
      <c r="AG27" s="15">
        <v>2.1438032163812641</v>
      </c>
      <c r="AH27" s="15">
        <v>3.4755269355461159E-2</v>
      </c>
      <c r="AI27" s="15">
        <v>1.4811152958104381</v>
      </c>
      <c r="AJ27">
        <v>0.11635085301391949</v>
      </c>
      <c r="AK27">
        <v>-8.1691584092816581E-5</v>
      </c>
      <c r="AL27">
        <v>0.81399999999999995</v>
      </c>
      <c r="AM27">
        <v>78.186000000000007</v>
      </c>
      <c r="AN27">
        <v>21</v>
      </c>
      <c r="AO27">
        <v>53.135005507805921</v>
      </c>
    </row>
    <row r="28" spans="1:41" x14ac:dyDescent="0.3">
      <c r="A28" s="31"/>
      <c r="B28" s="4" t="s">
        <v>28</v>
      </c>
      <c r="C28">
        <v>3.0749822177245698</v>
      </c>
      <c r="D28">
        <v>2.72330471183477</v>
      </c>
      <c r="E28">
        <v>9.74097412087694</v>
      </c>
      <c r="F28">
        <v>9.6647699872960597</v>
      </c>
      <c r="G28">
        <v>1072.1024097946499</v>
      </c>
      <c r="H28">
        <v>-17.209470789512999</v>
      </c>
      <c r="I28">
        <v>387.19116184475598</v>
      </c>
      <c r="J28">
        <v>1.21409792479033E-2</v>
      </c>
      <c r="K28">
        <v>8.8711504723900693E-3</v>
      </c>
      <c r="L28">
        <v>8.50928240631528E-2</v>
      </c>
      <c r="M28">
        <v>4.4841680861265797E-2</v>
      </c>
      <c r="N28">
        <v>21.924645286895998</v>
      </c>
      <c r="O28">
        <v>3.2767359850956601</v>
      </c>
      <c r="P28">
        <v>2.6437640463238501</v>
      </c>
      <c r="Q28">
        <v>16.239371233346599</v>
      </c>
      <c r="R28">
        <v>16.168443674456299</v>
      </c>
      <c r="S28">
        <v>117.650397456379</v>
      </c>
      <c r="T28">
        <v>-4.4440675196850403</v>
      </c>
      <c r="U28">
        <v>55.4842390448324</v>
      </c>
      <c r="V28">
        <v>2.2761927512024199E-2</v>
      </c>
      <c r="W28">
        <v>2.6378072200193999E-2</v>
      </c>
      <c r="X28">
        <v>9.5334453895756406E-3</v>
      </c>
      <c r="Y28">
        <v>3.76458656256069E-2</v>
      </c>
      <c r="Z28">
        <v>2.5269164705495601</v>
      </c>
      <c r="AA28">
        <v>7.67</v>
      </c>
      <c r="AB28">
        <v>0.03</v>
      </c>
      <c r="AC28">
        <v>0.32</v>
      </c>
      <c r="AD28" s="15">
        <v>0.73490160308269137</v>
      </c>
      <c r="AE28" s="15">
        <v>2.0302178927033747E-3</v>
      </c>
      <c r="AF28" s="15">
        <v>8.2240623147688582E-2</v>
      </c>
      <c r="AG28" s="15">
        <v>6.1024278668383047</v>
      </c>
      <c r="AH28" s="15">
        <v>4.0651146454757777E-3</v>
      </c>
      <c r="AI28" s="15">
        <v>2.6195551779900885</v>
      </c>
      <c r="AJ28">
        <v>8.2557026518122731E-2</v>
      </c>
      <c r="AK28">
        <v>6.8936497698264237E-2</v>
      </c>
      <c r="AL28">
        <v>0.25700000000000001</v>
      </c>
      <c r="AM28">
        <v>21.029499999999999</v>
      </c>
      <c r="AN28">
        <v>78.71350000000001</v>
      </c>
      <c r="AO28">
        <v>30.342088645230607</v>
      </c>
    </row>
    <row r="29" spans="1:41" x14ac:dyDescent="0.3">
      <c r="A29" s="31"/>
      <c r="B29" s="4" t="s">
        <v>29</v>
      </c>
      <c r="C29">
        <v>3.2605230781891699</v>
      </c>
      <c r="D29">
        <v>1.7831933461053899</v>
      </c>
      <c r="E29">
        <v>9.81918100213427</v>
      </c>
      <c r="F29">
        <v>11.3413689581079</v>
      </c>
      <c r="G29">
        <v>171.43320666610401</v>
      </c>
      <c r="H29">
        <v>-33.164020803151203</v>
      </c>
      <c r="I29">
        <v>108.99227150805901</v>
      </c>
      <c r="J29">
        <v>1.05339762724363E-2</v>
      </c>
      <c r="K29">
        <v>4.3811664409408001E-3</v>
      </c>
      <c r="L29">
        <v>3.2507312215742802E-2</v>
      </c>
      <c r="M29">
        <v>3.4289076543876598E-2</v>
      </c>
      <c r="N29">
        <v>2.14330842456333</v>
      </c>
      <c r="O29">
        <v>3.46868661203637</v>
      </c>
      <c r="P29">
        <v>2.1315809318568899</v>
      </c>
      <c r="Q29">
        <v>13.469487437662499</v>
      </c>
      <c r="R29">
        <v>14.0483848534345</v>
      </c>
      <c r="S29">
        <v>103.550245051484</v>
      </c>
      <c r="T29">
        <v>-4.5430899606299304</v>
      </c>
      <c r="U29">
        <v>49.794421162427902</v>
      </c>
      <c r="V29">
        <v>2.28554031977432E-2</v>
      </c>
      <c r="W29">
        <v>2.7304609827707198E-2</v>
      </c>
      <c r="X29">
        <v>-8.9460582476472898E-4</v>
      </c>
      <c r="Y29">
        <v>3.1321548689971598E-2</v>
      </c>
      <c r="Z29">
        <v>2.2668469633512101</v>
      </c>
      <c r="AA29">
        <v>7.8</v>
      </c>
      <c r="AB29">
        <v>0.03</v>
      </c>
      <c r="AC29">
        <v>0.31</v>
      </c>
      <c r="AD29" s="15">
        <v>0.16727773783997085</v>
      </c>
      <c r="AE29" s="15">
        <v>2.9280688159452829E-2</v>
      </c>
      <c r="AF29" s="15">
        <v>-0.12310402141568247</v>
      </c>
      <c r="AG29" s="15">
        <v>33.763975331525764</v>
      </c>
      <c r="AH29" s="15">
        <v>2.1141376483711197E-3</v>
      </c>
      <c r="AI29" s="15">
        <v>2.8188940810272096</v>
      </c>
      <c r="AJ29">
        <v>1.9188140809544035E-2</v>
      </c>
      <c r="AK29">
        <v>-0.11993050740876141</v>
      </c>
      <c r="AL29">
        <v>0.152</v>
      </c>
      <c r="AM29">
        <v>22.4345</v>
      </c>
      <c r="AN29">
        <v>77.413499999999999</v>
      </c>
      <c r="AO29">
        <v>33.436672525317427</v>
      </c>
    </row>
    <row r="30" spans="1:41" x14ac:dyDescent="0.3">
      <c r="A30" s="31" t="s">
        <v>30</v>
      </c>
      <c r="B30" s="4" t="s">
        <v>31</v>
      </c>
      <c r="C30">
        <v>84.072854410227706</v>
      </c>
      <c r="D30">
        <v>270.72245593288801</v>
      </c>
      <c r="E30">
        <v>16.059102879896699</v>
      </c>
      <c r="F30">
        <v>266.22308798908199</v>
      </c>
      <c r="G30">
        <v>10.711957717386399</v>
      </c>
      <c r="H30">
        <v>48.092882394448999</v>
      </c>
      <c r="I30">
        <v>2.4146352380024099</v>
      </c>
      <c r="J30">
        <v>0.79850689542167796</v>
      </c>
      <c r="K30">
        <v>1.8236089422027799</v>
      </c>
      <c r="L30">
        <v>2.6257168335562801E-2</v>
      </c>
      <c r="M30">
        <v>1.57791653902175</v>
      </c>
      <c r="N30">
        <v>0.199935824925707</v>
      </c>
      <c r="O30">
        <v>5.3486497281069703</v>
      </c>
      <c r="P30">
        <v>16.138741189050901</v>
      </c>
      <c r="Q30">
        <v>8.8152823192185092</v>
      </c>
      <c r="R30">
        <v>17.656356478033501</v>
      </c>
      <c r="S30">
        <v>63.072913734352902</v>
      </c>
      <c r="T30">
        <v>-1.8927391304352899E-2</v>
      </c>
      <c r="U30">
        <v>17.103846653634101</v>
      </c>
      <c r="V30">
        <v>4.5235130113325903E-2</v>
      </c>
      <c r="W30">
        <v>0.37256360447360398</v>
      </c>
      <c r="X30">
        <v>-5.1369841812415003E-2</v>
      </c>
      <c r="Y30">
        <v>0.32406421243574601</v>
      </c>
      <c r="Z30">
        <v>1.40639243885415</v>
      </c>
      <c r="AA30">
        <v>7.69</v>
      </c>
      <c r="AB30">
        <v>0.17</v>
      </c>
      <c r="AC30">
        <v>2.5299999999999998</v>
      </c>
      <c r="AD30" s="15">
        <v>10.355195976300671</v>
      </c>
      <c r="AE30" s="15">
        <v>2.6709134761218507E-3</v>
      </c>
      <c r="AF30" s="15">
        <v>0.48852565293557731</v>
      </c>
      <c r="AG30" s="15">
        <v>0</v>
      </c>
      <c r="AH30" s="15">
        <v>1.3764019726588653E-3</v>
      </c>
      <c r="AI30" s="15">
        <v>5.0488151790343032</v>
      </c>
      <c r="AJ30">
        <v>0.17405500210693553</v>
      </c>
      <c r="AK30">
        <v>-6.2494782707141434E-2</v>
      </c>
      <c r="AL30">
        <v>0.109</v>
      </c>
      <c r="AM30">
        <v>51.387500000000003</v>
      </c>
      <c r="AN30">
        <v>48.503500000000003</v>
      </c>
      <c r="AO30">
        <v>29.750357635197556</v>
      </c>
    </row>
    <row r="31" spans="1:41" x14ac:dyDescent="0.3">
      <c r="A31" s="31"/>
      <c r="B31" s="4" t="s">
        <v>32</v>
      </c>
      <c r="C31">
        <v>6.3863883831455599</v>
      </c>
      <c r="D31">
        <v>1.7947444634093599</v>
      </c>
      <c r="E31">
        <v>12.1680051390993</v>
      </c>
      <c r="F31">
        <v>12.435949509769801</v>
      </c>
      <c r="G31">
        <v>61.3537595600516</v>
      </c>
      <c r="H31">
        <v>-8.7480031628383408</v>
      </c>
      <c r="I31">
        <v>18.062663931116099</v>
      </c>
      <c r="J31">
        <v>1.37289419241462E-2</v>
      </c>
      <c r="K31">
        <v>3.4669307412635701E-3</v>
      </c>
      <c r="L31">
        <v>1.2767748395944901E-2</v>
      </c>
      <c r="M31">
        <v>9.3147079808034803E-3</v>
      </c>
      <c r="N31">
        <v>0.71466270185699998</v>
      </c>
      <c r="O31">
        <v>4.0853966875082497</v>
      </c>
      <c r="P31">
        <v>2.2205988575841502</v>
      </c>
      <c r="Q31">
        <v>13.5297748582863</v>
      </c>
      <c r="R31">
        <v>14.503217559077401</v>
      </c>
      <c r="S31">
        <v>80.791947786578902</v>
      </c>
      <c r="T31">
        <v>-33.874329227453501</v>
      </c>
      <c r="U31">
        <v>28.509028386842601</v>
      </c>
      <c r="V31">
        <v>6.5449466302886006E-2</v>
      </c>
      <c r="W31">
        <v>5.5040155478734101E-2</v>
      </c>
      <c r="X31">
        <v>0.18393804228164501</v>
      </c>
      <c r="Y31">
        <v>0.22343117657379699</v>
      </c>
      <c r="Z31">
        <v>2.1838791459778402</v>
      </c>
      <c r="AA31">
        <v>8.26</v>
      </c>
      <c r="AB31">
        <v>0.02</v>
      </c>
      <c r="AC31">
        <v>0.25</v>
      </c>
      <c r="AD31" s="15">
        <v>5.5850928676266696</v>
      </c>
      <c r="AE31" s="15">
        <v>5.2961597499799765E-3</v>
      </c>
      <c r="AF31" s="15">
        <v>-3.2527855713283899E-2</v>
      </c>
      <c r="AG31" s="15">
        <v>32.21235053224769</v>
      </c>
      <c r="AH31" s="15">
        <v>0.14804766997311777</v>
      </c>
      <c r="AI31" s="15">
        <v>2.8376899773211943</v>
      </c>
      <c r="AJ31">
        <v>5.9663498495780107E-2</v>
      </c>
      <c r="AK31">
        <v>-9.7433507939855037E-3</v>
      </c>
      <c r="AL31">
        <v>2.1999999999999999E-2</v>
      </c>
      <c r="AM31">
        <v>16.101500000000001</v>
      </c>
      <c r="AN31">
        <v>83.876499999999993</v>
      </c>
      <c r="AO31">
        <v>22.18740115323785</v>
      </c>
    </row>
    <row r="32" spans="1:41" x14ac:dyDescent="0.3">
      <c r="A32" s="31"/>
      <c r="B32" s="4" t="s">
        <v>33</v>
      </c>
      <c r="C32">
        <v>22.6864193154716</v>
      </c>
      <c r="D32">
        <v>9.9207643531585603</v>
      </c>
      <c r="E32">
        <v>10.7945025002499</v>
      </c>
      <c r="F32">
        <v>12.7413976159747</v>
      </c>
      <c r="G32">
        <v>10.961852428499901</v>
      </c>
      <c r="H32">
        <v>-18.795908571699599</v>
      </c>
      <c r="I32">
        <v>1.77929013793763</v>
      </c>
      <c r="J32">
        <v>8.4751389993851997E-2</v>
      </c>
      <c r="K32">
        <v>4.7498481135764999E-2</v>
      </c>
      <c r="L32">
        <v>8.1130331637422795E-2</v>
      </c>
      <c r="M32">
        <v>9.4789582655642093E-2</v>
      </c>
      <c r="N32">
        <v>0.14482115176121199</v>
      </c>
      <c r="O32">
        <v>4.74851581530665</v>
      </c>
      <c r="P32">
        <v>6.2043511456341696</v>
      </c>
      <c r="Q32">
        <v>13.8333604607251</v>
      </c>
      <c r="R32">
        <v>14.8399575970729</v>
      </c>
      <c r="S32">
        <v>91.2206923739096</v>
      </c>
      <c r="T32">
        <v>-32.190189652250901</v>
      </c>
      <c r="U32">
        <v>30.4962516744074</v>
      </c>
      <c r="V32">
        <v>6.4301066875770002E-2</v>
      </c>
      <c r="W32">
        <v>7.4065274472117901E-2</v>
      </c>
      <c r="X32">
        <v>2.3272449706099598</v>
      </c>
      <c r="Y32">
        <v>0.247595593251454</v>
      </c>
      <c r="Z32">
        <v>8.01</v>
      </c>
      <c r="AA32">
        <v>0.03</v>
      </c>
      <c r="AB32">
        <v>0.4</v>
      </c>
      <c r="AC32" s="15">
        <v>4.6255463261260168</v>
      </c>
      <c r="AD32" s="15">
        <v>8.2041912594308271E-3</v>
      </c>
      <c r="AE32" s="15">
        <v>0.45919175948672464</v>
      </c>
      <c r="AF32" s="15">
        <v>52.165531372231428</v>
      </c>
      <c r="AG32" s="15">
        <v>2.8314851888943866E-3</v>
      </c>
      <c r="AH32" s="15">
        <v>4.3471147943456563</v>
      </c>
      <c r="AI32">
        <v>-2.0735213367285787E-2</v>
      </c>
      <c r="AJ32">
        <v>-8.6302660799959269E-2</v>
      </c>
      <c r="AK32">
        <v>0.35649999999999998</v>
      </c>
      <c r="AL32">
        <v>22.769500000000001</v>
      </c>
      <c r="AM32">
        <v>76.873999999999995</v>
      </c>
      <c r="AN32">
        <v>17.128990104130256</v>
      </c>
    </row>
    <row r="36" spans="2:4" x14ac:dyDescent="0.3">
      <c r="B36" s="2" t="s">
        <v>150</v>
      </c>
      <c r="C36">
        <f>AVERAGE(C4:C32)</f>
        <v>21.576246331800011</v>
      </c>
      <c r="D36">
        <f>STDEV(C4:C32)/SQRT(COUNT(C4:C32))</f>
        <v>8.4338517838921376</v>
      </c>
    </row>
    <row r="37" spans="2:4" x14ac:dyDescent="0.3">
      <c r="B37" s="2" t="s">
        <v>151</v>
      </c>
      <c r="C37">
        <f>AVERAGE(D4:D32)</f>
        <v>43.661063914598948</v>
      </c>
      <c r="D37">
        <f>STDEV(D4:D32)/SQRT(COUNT(D4:D32))</f>
        <v>14.735865285446776</v>
      </c>
    </row>
    <row r="38" spans="2:4" x14ac:dyDescent="0.3">
      <c r="B38" s="2" t="s">
        <v>152</v>
      </c>
      <c r="C38">
        <f>AVERAGE(E4:E32)</f>
        <v>15.820153504346173</v>
      </c>
      <c r="D38">
        <f>STDEV(E4:E32)/SQRT(COUNT(E4:E32))</f>
        <v>1.2687576697474239</v>
      </c>
    </row>
    <row r="39" spans="2:4" x14ac:dyDescent="0.3">
      <c r="B39" s="2" t="s">
        <v>153</v>
      </c>
      <c r="C39">
        <f>AVERAGE(G4:G32)</f>
        <v>190.01954657045081</v>
      </c>
      <c r="D39">
        <f>STDEV(G4:G32)/SQRT(COUNT(G4:G32))</f>
        <v>116.28497022412512</v>
      </c>
    </row>
  </sheetData>
  <mergeCells count="17">
    <mergeCell ref="AD1:AF1"/>
    <mergeCell ref="AG1:AI1"/>
    <mergeCell ref="AL1:AN1"/>
    <mergeCell ref="C2:G2"/>
    <mergeCell ref="H2:I2"/>
    <mergeCell ref="J2:M2"/>
    <mergeCell ref="C1:M1"/>
    <mergeCell ref="O2:S2"/>
    <mergeCell ref="T2:U2"/>
    <mergeCell ref="O1:Z1"/>
    <mergeCell ref="V2:Z2"/>
    <mergeCell ref="A30:A32"/>
    <mergeCell ref="A4:A13"/>
    <mergeCell ref="A14:A18"/>
    <mergeCell ref="A19:A26"/>
    <mergeCell ref="A3:B3"/>
    <mergeCell ref="A27:A2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DE01-F605-4094-B664-BD62E5DF32C4}">
  <dimension ref="A1:Y29"/>
  <sheetViews>
    <sheetView tabSelected="1" zoomScale="52" zoomScaleNormal="88" workbookViewId="0">
      <selection activeCell="H39" sqref="H39"/>
    </sheetView>
  </sheetViews>
  <sheetFormatPr defaultRowHeight="14" x14ac:dyDescent="0.3"/>
  <cols>
    <col min="1" max="1" width="10.4140625" style="2" bestFit="1" customWidth="1"/>
    <col min="2" max="2" width="18.08203125" customWidth="1"/>
  </cols>
  <sheetData>
    <row r="1" spans="1:25" x14ac:dyDescent="0.3">
      <c r="A1" s="10" t="s">
        <v>43</v>
      </c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9" t="s">
        <v>1</v>
      </c>
      <c r="M1" s="29"/>
      <c r="N1" s="29"/>
      <c r="O1" s="29"/>
      <c r="P1" s="30" t="s">
        <v>2</v>
      </c>
      <c r="Q1" s="30"/>
      <c r="R1" s="30"/>
      <c r="S1" s="30"/>
      <c r="T1" s="30"/>
      <c r="U1" s="30"/>
      <c r="V1" s="30"/>
      <c r="W1" s="30"/>
      <c r="X1" s="30"/>
      <c r="Y1" s="30"/>
    </row>
    <row r="2" spans="1:25" x14ac:dyDescent="0.3">
      <c r="A2" s="3" t="s">
        <v>3</v>
      </c>
      <c r="B2" s="1" t="s">
        <v>34</v>
      </c>
      <c r="C2" s="1" t="s">
        <v>42</v>
      </c>
      <c r="D2" s="1" t="s">
        <v>35</v>
      </c>
      <c r="E2" s="1" t="s">
        <v>42</v>
      </c>
      <c r="F2" s="1" t="s">
        <v>36</v>
      </c>
      <c r="G2" s="1" t="s">
        <v>42</v>
      </c>
      <c r="H2" s="1" t="s">
        <v>37</v>
      </c>
      <c r="I2" s="1" t="s">
        <v>42</v>
      </c>
      <c r="J2" s="1" t="s">
        <v>38</v>
      </c>
      <c r="K2" s="1" t="s">
        <v>42</v>
      </c>
      <c r="L2" s="1" t="s">
        <v>39</v>
      </c>
      <c r="M2" s="1" t="s">
        <v>42</v>
      </c>
      <c r="N2" s="1" t="s">
        <v>40</v>
      </c>
      <c r="O2" s="1" t="s">
        <v>42</v>
      </c>
      <c r="P2" s="1" t="s">
        <v>41</v>
      </c>
      <c r="Q2" s="1" t="s">
        <v>42</v>
      </c>
      <c r="R2" s="1" t="s">
        <v>35</v>
      </c>
      <c r="S2" s="1" t="s">
        <v>42</v>
      </c>
      <c r="T2" s="1" t="s">
        <v>36</v>
      </c>
      <c r="U2" s="1" t="s">
        <v>42</v>
      </c>
      <c r="V2" s="1" t="s">
        <v>37</v>
      </c>
      <c r="W2" s="1" t="s">
        <v>42</v>
      </c>
      <c r="X2" s="1" t="s">
        <v>40</v>
      </c>
      <c r="Y2" s="1" t="s">
        <v>42</v>
      </c>
    </row>
    <row r="3" spans="1:25" x14ac:dyDescent="0.3">
      <c r="A3" s="2" t="s">
        <v>4</v>
      </c>
      <c r="B3">
        <v>6.9734153343488385</v>
      </c>
      <c r="C3">
        <v>1.678682150928319</v>
      </c>
      <c r="D3">
        <v>20.405815744897598</v>
      </c>
      <c r="E3">
        <v>5.2870810337252232</v>
      </c>
      <c r="F3">
        <v>15.595060426155152</v>
      </c>
      <c r="G3">
        <v>1.7200873008806463</v>
      </c>
      <c r="H3">
        <v>28.345017503153684</v>
      </c>
      <c r="I3">
        <v>4.9519602811928332</v>
      </c>
      <c r="J3">
        <v>349.64309524793509</v>
      </c>
      <c r="K3">
        <v>309.07874335426283</v>
      </c>
      <c r="L3">
        <v>19.166670821164473</v>
      </c>
      <c r="M3">
        <v>24.782934382120072</v>
      </c>
      <c r="N3">
        <v>284.42587915522392</v>
      </c>
      <c r="O3">
        <v>260.52714744326033</v>
      </c>
      <c r="P3">
        <v>6.9574137667354014E-2</v>
      </c>
      <c r="Q3">
        <v>2.1822894292843696E-2</v>
      </c>
      <c r="R3">
        <v>0.15264261004651347</v>
      </c>
      <c r="S3">
        <v>0.10660763532246376</v>
      </c>
      <c r="T3">
        <v>0.10262059593245847</v>
      </c>
      <c r="U3">
        <v>2.9790069232115968E-2</v>
      </c>
      <c r="V3">
        <v>0.20202959839012818</v>
      </c>
      <c r="W3">
        <v>8.8384265668984732E-2</v>
      </c>
      <c r="X3">
        <v>13.321342109985002</v>
      </c>
      <c r="Y3">
        <v>12.03682651513838</v>
      </c>
    </row>
    <row r="4" spans="1:25" x14ac:dyDescent="0.3">
      <c r="A4" s="2" t="s">
        <v>11</v>
      </c>
      <c r="B4">
        <v>19.431082329953178</v>
      </c>
      <c r="C4">
        <v>10.37076560659961</v>
      </c>
      <c r="D4">
        <v>75.406082675650936</v>
      </c>
      <c r="E4">
        <v>43.35184700967482</v>
      </c>
      <c r="F4">
        <v>14.749912540914579</v>
      </c>
      <c r="G4">
        <v>0.73938430529402266</v>
      </c>
      <c r="H4">
        <v>83.462571487355333</v>
      </c>
      <c r="I4">
        <v>42.884748487238767</v>
      </c>
      <c r="J4">
        <v>50.185913314318398</v>
      </c>
      <c r="K4">
        <v>18.85788680767341</v>
      </c>
      <c r="L4">
        <v>73.031539602182576</v>
      </c>
      <c r="M4">
        <v>53.886942629508688</v>
      </c>
      <c r="N4">
        <v>23.188660838523052</v>
      </c>
      <c r="O4">
        <v>13.384130145144228</v>
      </c>
      <c r="P4">
        <v>0.36913140677197215</v>
      </c>
      <c r="Q4">
        <v>0.21065001921826221</v>
      </c>
      <c r="R4">
        <v>1.1124818652427808</v>
      </c>
      <c r="S4">
        <v>0.61158340643582343</v>
      </c>
      <c r="T4">
        <v>0.12624305111945811</v>
      </c>
      <c r="U4">
        <v>2.9795821070066491E-2</v>
      </c>
      <c r="V4">
        <v>1.1042063358067331</v>
      </c>
      <c r="W4">
        <v>0.59069077506148282</v>
      </c>
      <c r="X4">
        <v>1.4352726382019645</v>
      </c>
      <c r="Y4">
        <v>0.77355098006559453</v>
      </c>
    </row>
    <row r="5" spans="1:25" x14ac:dyDescent="0.3">
      <c r="A5" s="2" t="s">
        <v>17</v>
      </c>
      <c r="B5">
        <v>42.102046968885077</v>
      </c>
      <c r="C5">
        <v>26.24475641488625</v>
      </c>
      <c r="D5">
        <v>49.149923104380122</v>
      </c>
      <c r="E5">
        <v>29.706231704727923</v>
      </c>
      <c r="F5">
        <v>20.060165803150618</v>
      </c>
      <c r="G5">
        <v>3.3125533861123779</v>
      </c>
      <c r="H5">
        <v>56.269050173331976</v>
      </c>
      <c r="I5">
        <v>30.411194976835656</v>
      </c>
      <c r="J5">
        <v>42.844333332498429</v>
      </c>
      <c r="K5">
        <v>19.321055572276027</v>
      </c>
      <c r="L5">
        <v>7.0459349963623614</v>
      </c>
      <c r="M5">
        <v>8.6921701577797457</v>
      </c>
      <c r="N5">
        <v>24.046453827390131</v>
      </c>
      <c r="O5">
        <v>14.53949426671837</v>
      </c>
      <c r="P5">
        <v>0.32087918134824672</v>
      </c>
      <c r="Q5">
        <v>0.19699363818922677</v>
      </c>
      <c r="R5">
        <v>0.5376741386940076</v>
      </c>
      <c r="S5">
        <v>0.43171140089819299</v>
      </c>
      <c r="T5">
        <v>8.4408513690736903E-2</v>
      </c>
      <c r="U5">
        <v>2.7761761094257979E-2</v>
      </c>
      <c r="V5">
        <v>0.61212120633002387</v>
      </c>
      <c r="W5">
        <v>0.39958894796984462</v>
      </c>
      <c r="X5">
        <v>1.0225238478117991</v>
      </c>
      <c r="Y5">
        <v>0.50056502929999735</v>
      </c>
    </row>
    <row r="6" spans="1:25" x14ac:dyDescent="0.3">
      <c r="A6" s="2" t="s">
        <v>26</v>
      </c>
      <c r="B6">
        <v>2.9531802563401564</v>
      </c>
      <c r="C6">
        <v>0.18057333779925286</v>
      </c>
      <c r="D6">
        <v>3.1483110372139635</v>
      </c>
      <c r="E6">
        <v>0.76366955343526954</v>
      </c>
      <c r="F6">
        <v>9.8604492384879041</v>
      </c>
      <c r="G6">
        <v>6.8163037314695085E-2</v>
      </c>
      <c r="H6">
        <v>11.192107470144521</v>
      </c>
      <c r="I6">
        <v>0.68751826044286257</v>
      </c>
      <c r="J6">
        <v>445.80803170873509</v>
      </c>
      <c r="K6">
        <v>256.33605643403644</v>
      </c>
      <c r="L6">
        <v>-21.690203917160432</v>
      </c>
      <c r="M6">
        <v>4.7214482682241297</v>
      </c>
      <c r="N6">
        <v>172.43287048772967</v>
      </c>
      <c r="O6">
        <v>90.088152712216541</v>
      </c>
      <c r="P6">
        <v>1.4123792234943635E-2</v>
      </c>
      <c r="Q6">
        <v>2.3063323311551705E-3</v>
      </c>
      <c r="R6">
        <v>2.394187352445459E-2</v>
      </c>
      <c r="S6">
        <v>1.4177775676327983E-2</v>
      </c>
      <c r="T6">
        <v>5.2272982596658572E-2</v>
      </c>
      <c r="U6">
        <v>1.34917056916231E-2</v>
      </c>
      <c r="V6">
        <v>4.7699883846114767E-2</v>
      </c>
      <c r="W6">
        <v>7.0922475086981083E-3</v>
      </c>
      <c r="X6">
        <v>8.2996194048790155</v>
      </c>
      <c r="Y6">
        <v>5.570988317015245</v>
      </c>
    </row>
    <row r="7" spans="1:25" x14ac:dyDescent="0.3">
      <c r="A7" s="2" t="s">
        <v>30</v>
      </c>
      <c r="B7">
        <v>37.715220702948287</v>
      </c>
      <c r="C7">
        <v>19.311455462165537</v>
      </c>
      <c r="D7">
        <v>94.1459882498186</v>
      </c>
      <c r="E7">
        <v>72.112481204149532</v>
      </c>
      <c r="F7">
        <v>13.0072035064153</v>
      </c>
      <c r="G7">
        <v>1.2873050846308305</v>
      </c>
      <c r="H7">
        <v>97.133478371608817</v>
      </c>
      <c r="I7">
        <v>69.030581604706995</v>
      </c>
      <c r="J7">
        <v>69.030581604706995</v>
      </c>
      <c r="K7">
        <v>13.749072488034782</v>
      </c>
      <c r="L7">
        <v>6.8496568866370211</v>
      </c>
      <c r="M7">
        <v>17.003220861501706</v>
      </c>
      <c r="N7">
        <v>7.4188631023520459</v>
      </c>
      <c r="O7">
        <v>4.3478931784599313</v>
      </c>
      <c r="P7">
        <v>0.29899574244655874</v>
      </c>
      <c r="Q7">
        <v>0.2039455218661399</v>
      </c>
      <c r="R7">
        <v>0.62485811802660285</v>
      </c>
      <c r="S7">
        <v>0.48949800776006658</v>
      </c>
      <c r="T7">
        <v>4.0051749456310161E-2</v>
      </c>
      <c r="U7">
        <v>9.0472286092842025E-2</v>
      </c>
      <c r="V7">
        <v>1.57791653902175</v>
      </c>
      <c r="W7">
        <v>0.41577608054966342</v>
      </c>
      <c r="X7">
        <v>0.35313989284797298</v>
      </c>
      <c r="Y7">
        <v>0.14816167061306182</v>
      </c>
    </row>
    <row r="8" spans="1:25" x14ac:dyDescent="0.3">
      <c r="A8" s="10" t="s">
        <v>45</v>
      </c>
      <c r="B8" s="28" t="s">
        <v>0</v>
      </c>
      <c r="C8" s="28"/>
      <c r="D8" s="28"/>
      <c r="E8" s="28"/>
      <c r="F8" s="28"/>
      <c r="G8" s="28"/>
      <c r="H8" s="28"/>
      <c r="I8" s="28"/>
      <c r="J8" s="28"/>
      <c r="K8" s="28"/>
      <c r="L8" s="29" t="s">
        <v>1</v>
      </c>
      <c r="M8" s="29"/>
      <c r="N8" s="29"/>
      <c r="O8" s="29"/>
      <c r="P8" s="30" t="s">
        <v>2</v>
      </c>
      <c r="Q8" s="30"/>
      <c r="R8" s="30"/>
      <c r="S8" s="30"/>
      <c r="T8" s="30"/>
      <c r="U8" s="30"/>
      <c r="V8" s="30"/>
      <c r="W8" s="30"/>
      <c r="X8" s="30"/>
      <c r="Y8" s="30"/>
    </row>
    <row r="9" spans="1:25" x14ac:dyDescent="0.3">
      <c r="A9" s="3" t="s">
        <v>3</v>
      </c>
      <c r="B9" s="1" t="s">
        <v>34</v>
      </c>
      <c r="C9" s="1" t="s">
        <v>42</v>
      </c>
      <c r="D9" s="1" t="s">
        <v>35</v>
      </c>
      <c r="E9" s="1" t="s">
        <v>42</v>
      </c>
      <c r="F9" s="1" t="s">
        <v>36</v>
      </c>
      <c r="G9" s="1" t="s">
        <v>42</v>
      </c>
      <c r="H9" s="1" t="s">
        <v>37</v>
      </c>
      <c r="I9" s="1" t="s">
        <v>42</v>
      </c>
      <c r="J9" s="1" t="s">
        <v>38</v>
      </c>
      <c r="K9" s="1" t="s">
        <v>42</v>
      </c>
      <c r="L9" s="1" t="s">
        <v>39</v>
      </c>
      <c r="M9" s="1" t="s">
        <v>42</v>
      </c>
      <c r="N9" s="1" t="s">
        <v>40</v>
      </c>
      <c r="O9" s="1" t="s">
        <v>42</v>
      </c>
      <c r="P9" s="1" t="s">
        <v>41</v>
      </c>
      <c r="Q9" s="1" t="s">
        <v>42</v>
      </c>
      <c r="R9" s="1" t="s">
        <v>35</v>
      </c>
      <c r="S9" s="1" t="s">
        <v>42</v>
      </c>
      <c r="T9" s="1" t="s">
        <v>36</v>
      </c>
      <c r="U9" s="1" t="s">
        <v>42</v>
      </c>
      <c r="V9" s="1" t="s">
        <v>37</v>
      </c>
      <c r="W9" s="1" t="s">
        <v>42</v>
      </c>
      <c r="X9" s="1" t="s">
        <v>40</v>
      </c>
      <c r="Y9" s="1" t="s">
        <v>42</v>
      </c>
    </row>
    <row r="10" spans="1:25" x14ac:dyDescent="0.3">
      <c r="A10" s="2" t="s">
        <v>4</v>
      </c>
      <c r="B10">
        <v>5.0078893975110406</v>
      </c>
      <c r="C10">
        <v>0.38933774286728651</v>
      </c>
      <c r="D10">
        <v>5.5957599869019203</v>
      </c>
      <c r="E10">
        <v>0.8331924303396131</v>
      </c>
      <c r="F10">
        <v>9.563267956492739</v>
      </c>
      <c r="G10">
        <v>0.44248075399454345</v>
      </c>
      <c r="H10">
        <v>11.289003792831146</v>
      </c>
      <c r="I10">
        <v>0.56208008814998311</v>
      </c>
      <c r="J10">
        <v>410.70449659650694</v>
      </c>
      <c r="K10">
        <v>239.89328607706631</v>
      </c>
      <c r="L10">
        <v>-0.26521164527973085</v>
      </c>
      <c r="M10">
        <v>0.50696969669640568</v>
      </c>
      <c r="N10">
        <v>174.65216194001883</v>
      </c>
      <c r="O10">
        <v>107.24535466605697</v>
      </c>
      <c r="P10">
        <v>3.5392311820078758E-2</v>
      </c>
      <c r="Q10">
        <v>1.5536759343960344E-2</v>
      </c>
      <c r="R10">
        <v>0.10938843246180083</v>
      </c>
      <c r="S10">
        <v>8.449678681096617E-3</v>
      </c>
      <c r="T10">
        <v>3.6718436376900337E-2</v>
      </c>
      <c r="U10">
        <v>2.0075455913279427E-2</v>
      </c>
      <c r="V10">
        <v>0.10938843246180083</v>
      </c>
      <c r="W10">
        <v>8.449678681096617E-3</v>
      </c>
      <c r="X10">
        <v>14.679228786488924</v>
      </c>
      <c r="Y10">
        <v>9.0965621978619993</v>
      </c>
    </row>
    <row r="11" spans="1:25" x14ac:dyDescent="0.3">
      <c r="A11" s="2" t="s">
        <v>11</v>
      </c>
      <c r="B11">
        <v>3.5711820880395919</v>
      </c>
      <c r="C11">
        <v>0.19374009416924809</v>
      </c>
      <c r="D11">
        <v>9.3257485548319661</v>
      </c>
      <c r="E11">
        <v>3.2590415114445617</v>
      </c>
      <c r="F11">
        <v>10.52961601738938</v>
      </c>
      <c r="G11">
        <v>0.37973292889435928</v>
      </c>
      <c r="H11">
        <v>16.037292746131158</v>
      </c>
      <c r="I11">
        <v>3.0481334382641716</v>
      </c>
      <c r="J11">
        <v>55.456175819399462</v>
      </c>
      <c r="K11">
        <v>5.0676540017255762</v>
      </c>
      <c r="L11">
        <v>4.5688530296343046</v>
      </c>
      <c r="M11">
        <v>2.8510670076105336</v>
      </c>
      <c r="N11">
        <v>25.824670156983245</v>
      </c>
      <c r="O11">
        <v>3.6353476610219437</v>
      </c>
      <c r="P11">
        <v>2.7488709717226577E-2</v>
      </c>
      <c r="Q11">
        <v>1.5677887153920296E-3</v>
      </c>
      <c r="R11">
        <v>0.19833344890510884</v>
      </c>
      <c r="S11">
        <v>6.2674146912155365E-2</v>
      </c>
      <c r="T11">
        <v>-2.7547241260713971E-2</v>
      </c>
      <c r="U11">
        <v>1.1775160780875499E-2</v>
      </c>
      <c r="V11">
        <v>0.19833344890510884</v>
      </c>
      <c r="W11">
        <v>6.2674146912155365E-2</v>
      </c>
      <c r="X11">
        <v>1.5925143237489618</v>
      </c>
      <c r="Y11">
        <v>0.11876001489292189</v>
      </c>
    </row>
    <row r="12" spans="1:25" x14ac:dyDescent="0.3">
      <c r="A12" s="2" t="s">
        <v>17</v>
      </c>
      <c r="B12">
        <v>3.8282144784431624</v>
      </c>
      <c r="C12">
        <v>0.12618794945565043</v>
      </c>
      <c r="D12">
        <v>30.404165309559129</v>
      </c>
      <c r="E12">
        <v>11.025160625771834</v>
      </c>
      <c r="F12">
        <v>10.167609097123231</v>
      </c>
      <c r="G12">
        <v>0.53945626344422748</v>
      </c>
      <c r="H12">
        <v>39.858130063157347</v>
      </c>
      <c r="I12">
        <v>9.7696907227698571</v>
      </c>
      <c r="J12">
        <v>268.67836856037553</v>
      </c>
      <c r="K12">
        <v>56.714598526108617</v>
      </c>
      <c r="L12">
        <v>-10.080299611501172</v>
      </c>
      <c r="M12">
        <v>6.4810416345010422</v>
      </c>
      <c r="N12">
        <v>91.731028591327672</v>
      </c>
      <c r="O12">
        <v>14.954792378767362</v>
      </c>
      <c r="P12">
        <v>3.1326891174649416E-2</v>
      </c>
      <c r="Q12">
        <v>4.9361437199288644E-3</v>
      </c>
      <c r="R12">
        <v>0.27465297794967197</v>
      </c>
      <c r="S12">
        <v>9.5578179098679369E-2</v>
      </c>
      <c r="T12">
        <v>4.0621467519318742E-2</v>
      </c>
      <c r="U12">
        <v>2.0942536622751268E-2</v>
      </c>
      <c r="V12">
        <v>0.27465297794967197</v>
      </c>
      <c r="W12">
        <v>9.5578179098679369E-2</v>
      </c>
      <c r="X12">
        <v>4.5363874249645857</v>
      </c>
      <c r="Y12">
        <v>0.53538991055408991</v>
      </c>
    </row>
    <row r="13" spans="1:25" x14ac:dyDescent="0.3">
      <c r="A13" s="2" t="s">
        <v>26</v>
      </c>
      <c r="B13">
        <v>3.8600089881310629</v>
      </c>
      <c r="C13">
        <v>4.5825126785415962E-2</v>
      </c>
      <c r="D13">
        <v>5.8578675498832098</v>
      </c>
      <c r="E13">
        <v>0.12577868320275054</v>
      </c>
      <c r="F13">
        <v>13.475177049320353</v>
      </c>
      <c r="G13">
        <v>0.66815501295793245</v>
      </c>
      <c r="H13">
        <v>15.799877092402101</v>
      </c>
      <c r="I13">
        <v>0.5032098030306662</v>
      </c>
      <c r="J13">
        <v>95.088840089144369</v>
      </c>
      <c r="K13">
        <v>5.1632466337526539</v>
      </c>
      <c r="L13">
        <v>-23.308304143879379</v>
      </c>
      <c r="M13">
        <v>21.700737011386746</v>
      </c>
      <c r="N13">
        <v>42.933805268196622</v>
      </c>
      <c r="O13">
        <v>1.6120464259242064</v>
      </c>
      <c r="P13">
        <v>2.9153958989150176E-2</v>
      </c>
      <c r="Q13">
        <v>8.0447190654905215E-4</v>
      </c>
      <c r="R13">
        <v>0.11900201109532657</v>
      </c>
      <c r="S13">
        <v>6.241968844699926E-3</v>
      </c>
      <c r="T13">
        <v>-1.3373950525585572E-2</v>
      </c>
      <c r="U13">
        <v>4.78494453049059E-3</v>
      </c>
      <c r="V13">
        <v>3.4481479969234098E-2</v>
      </c>
      <c r="W13">
        <v>6.241968844699926E-3</v>
      </c>
      <c r="X13">
        <v>2.1121423867885523</v>
      </c>
      <c r="Y13">
        <v>7.3419076686259396E-2</v>
      </c>
    </row>
    <row r="14" spans="1:25" x14ac:dyDescent="0.3">
      <c r="A14" s="2" t="s">
        <v>30</v>
      </c>
      <c r="B14">
        <v>4.7275207436406239</v>
      </c>
      <c r="C14">
        <v>0.29787493867996545</v>
      </c>
      <c r="D14">
        <v>8.1878970640897411</v>
      </c>
      <c r="E14">
        <v>3.3790042023487725</v>
      </c>
      <c r="F14">
        <v>12.059472546076636</v>
      </c>
      <c r="G14">
        <v>1.3263666935180798</v>
      </c>
      <c r="H14">
        <v>15.666510544727933</v>
      </c>
      <c r="I14">
        <v>0.81621941385836683</v>
      </c>
      <c r="J14">
        <v>78.36185129828047</v>
      </c>
      <c r="K14">
        <v>6.7082600375656396</v>
      </c>
      <c r="L14">
        <v>-22.027815423669583</v>
      </c>
      <c r="M14">
        <v>8.9938552584291696</v>
      </c>
      <c r="N14">
        <v>25.369708904961367</v>
      </c>
      <c r="O14">
        <v>3.406876156869219</v>
      </c>
      <c r="P14">
        <v>5.832855443066063E-2</v>
      </c>
      <c r="Q14">
        <v>5.3522171018992089E-3</v>
      </c>
      <c r="R14">
        <v>0.16722301147481866</v>
      </c>
      <c r="S14">
        <v>8.3949797350027014E-2</v>
      </c>
      <c r="T14">
        <v>0.10503976753720634</v>
      </c>
      <c r="U14">
        <v>6.3854792430279458E-2</v>
      </c>
      <c r="V14">
        <v>0.16722301147481866</v>
      </c>
      <c r="W14">
        <v>8.3949797350027014E-2</v>
      </c>
      <c r="X14">
        <v>1.9725055184806501</v>
      </c>
      <c r="Y14">
        <v>0.23357199894548855</v>
      </c>
    </row>
    <row r="16" spans="1:25" s="5" customFormat="1" x14ac:dyDescent="0.3">
      <c r="A16" s="10" t="s">
        <v>63</v>
      </c>
    </row>
    <row r="17" spans="1:17" x14ac:dyDescent="0.3">
      <c r="A17" s="3" t="s">
        <v>3</v>
      </c>
      <c r="B17" s="1" t="s">
        <v>47</v>
      </c>
      <c r="C17" s="1" t="s">
        <v>42</v>
      </c>
      <c r="D17" s="1" t="s">
        <v>48</v>
      </c>
      <c r="E17" s="1" t="s">
        <v>42</v>
      </c>
      <c r="F17" s="1" t="s">
        <v>49</v>
      </c>
      <c r="G17" s="1" t="s">
        <v>42</v>
      </c>
      <c r="H17" s="8" t="s">
        <v>59</v>
      </c>
      <c r="I17" s="1" t="s">
        <v>42</v>
      </c>
      <c r="J17" s="8" t="s">
        <v>60</v>
      </c>
      <c r="K17" s="1" t="s">
        <v>42</v>
      </c>
      <c r="L17" s="8" t="s">
        <v>61</v>
      </c>
      <c r="M17" s="1" t="s">
        <v>42</v>
      </c>
      <c r="N17" s="8" t="s">
        <v>56</v>
      </c>
      <c r="O17" s="1" t="s">
        <v>42</v>
      </c>
      <c r="P17" s="8" t="s">
        <v>57</v>
      </c>
      <c r="Q17" s="1" t="s">
        <v>42</v>
      </c>
    </row>
    <row r="18" spans="1:17" x14ac:dyDescent="0.3">
      <c r="A18" s="2" t="s">
        <v>4</v>
      </c>
      <c r="B18">
        <v>6.2329999999999997</v>
      </c>
      <c r="C18">
        <v>0.35557291797885837</v>
      </c>
      <c r="D18">
        <v>0.2967594185827</v>
      </c>
      <c r="E18">
        <v>9.4309898485492483E-2</v>
      </c>
      <c r="F18">
        <v>5.7648672529572469</v>
      </c>
      <c r="G18">
        <v>2.0287801990327838</v>
      </c>
      <c r="H18">
        <v>0.51305555555555549</v>
      </c>
      <c r="I18">
        <v>5.9430933043905183E-2</v>
      </c>
      <c r="J18">
        <v>44.752999999999993</v>
      </c>
      <c r="K18">
        <v>5.9082408276726364</v>
      </c>
      <c r="L18">
        <v>53.726611111111104</v>
      </c>
      <c r="M18">
        <v>5.8432034444480871</v>
      </c>
      <c r="N18">
        <v>0.53553344862123875</v>
      </c>
      <c r="O18">
        <v>0.31385229431895173</v>
      </c>
      <c r="P18">
        <v>0.71591447081417781</v>
      </c>
      <c r="Q18">
        <v>0.46812851411125744</v>
      </c>
    </row>
    <row r="19" spans="1:17" x14ac:dyDescent="0.3">
      <c r="A19" s="2" t="s">
        <v>11</v>
      </c>
      <c r="B19">
        <v>5.0860000000000003</v>
      </c>
      <c r="C19">
        <v>6.7088001907941744E-2</v>
      </c>
      <c r="D19">
        <v>0.56817733804200843</v>
      </c>
      <c r="E19">
        <v>9.4860517430673988E-2</v>
      </c>
      <c r="F19">
        <v>8.8640968684637009</v>
      </c>
      <c r="G19">
        <v>1.7814341359511952</v>
      </c>
      <c r="H19">
        <v>1.0188999999999999</v>
      </c>
      <c r="I19">
        <v>0.12339946515281187</v>
      </c>
      <c r="J19">
        <v>71.578400000000002</v>
      </c>
      <c r="K19">
        <v>4.5207207863348735</v>
      </c>
      <c r="L19">
        <v>26.970700000000001</v>
      </c>
      <c r="M19">
        <v>4.3769450844167546</v>
      </c>
      <c r="N19">
        <v>-6.297460473738585E-2</v>
      </c>
      <c r="O19">
        <v>1.5604969633600947</v>
      </c>
      <c r="P19">
        <v>-0.79467691290147635</v>
      </c>
      <c r="Q19">
        <v>1.4570884753622566</v>
      </c>
    </row>
    <row r="20" spans="1:17" x14ac:dyDescent="0.3">
      <c r="A20" s="2" t="s">
        <v>17</v>
      </c>
      <c r="B20">
        <v>6.36</v>
      </c>
      <c r="C20">
        <v>0.21095763792761801</v>
      </c>
      <c r="D20">
        <v>0.17955293954710447</v>
      </c>
      <c r="E20">
        <v>2.311258160709205E-2</v>
      </c>
      <c r="F20">
        <v>2.1758652277255841</v>
      </c>
      <c r="G20">
        <v>0.32055888577528607</v>
      </c>
      <c r="H20">
        <v>0.90156250000000004</v>
      </c>
      <c r="I20">
        <v>0.10759510464221296</v>
      </c>
      <c r="J20">
        <v>55.841999999999999</v>
      </c>
      <c r="K20">
        <v>2.8463834152965091</v>
      </c>
      <c r="L20">
        <v>41.953937500000002</v>
      </c>
      <c r="M20">
        <v>2.488494880252504</v>
      </c>
      <c r="N20">
        <v>1.5245712372761968</v>
      </c>
      <c r="O20">
        <v>0.84920317887933894</v>
      </c>
      <c r="P20">
        <v>1.225283107902805</v>
      </c>
      <c r="Q20">
        <v>0.90828988890373563</v>
      </c>
    </row>
    <row r="21" spans="1:17" x14ac:dyDescent="0.3">
      <c r="A21" s="2" t="s">
        <v>26</v>
      </c>
      <c r="B21">
        <v>7.84</v>
      </c>
      <c r="C21">
        <v>9.1043335224984631E-2</v>
      </c>
      <c r="D21">
        <v>9.9422380550076295E-2</v>
      </c>
      <c r="E21">
        <v>5.8291170169846578E-2</v>
      </c>
      <c r="F21">
        <v>1.4950627314893568</v>
      </c>
      <c r="G21">
        <v>0.96088007154716004</v>
      </c>
      <c r="H21">
        <v>0.40766666666666662</v>
      </c>
      <c r="I21">
        <v>0.16772088807389587</v>
      </c>
      <c r="J21">
        <v>40.550000000000004</v>
      </c>
      <c r="K21">
        <v>15.368401046375064</v>
      </c>
      <c r="L21">
        <v>59.042333333333339</v>
      </c>
      <c r="M21">
        <v>15.533739938049782</v>
      </c>
      <c r="N21">
        <v>-1.7025233764863326E-2</v>
      </c>
      <c r="O21">
        <v>4.5050586679489725E-2</v>
      </c>
      <c r="P21">
        <v>-1.7025233764863326E-2</v>
      </c>
      <c r="Q21">
        <v>4.5050586679489725E-2</v>
      </c>
    </row>
    <row r="22" spans="1:17" x14ac:dyDescent="0.3">
      <c r="A22" s="2" t="s">
        <v>30</v>
      </c>
      <c r="B22">
        <v>7.9866666666666672</v>
      </c>
      <c r="C22">
        <v>0.13468756713498356</v>
      </c>
      <c r="D22">
        <v>7.5698179421919407E-2</v>
      </c>
      <c r="E22">
        <v>4.0096262049984635E-2</v>
      </c>
      <c r="F22">
        <v>1.0586390743146448</v>
      </c>
      <c r="G22">
        <v>0.60013786562894189</v>
      </c>
      <c r="H22">
        <v>0.16250000000000001</v>
      </c>
      <c r="I22">
        <v>8.1811775843497442E-2</v>
      </c>
      <c r="J22">
        <v>30.086166666666667</v>
      </c>
      <c r="K22">
        <v>8.8371143773586276</v>
      </c>
      <c r="L22">
        <v>69.751333333333335</v>
      </c>
      <c r="M22">
        <v>8.8300190962840457</v>
      </c>
      <c r="N22">
        <v>-5.2846931433695399E-2</v>
      </c>
      <c r="O22">
        <v>1.8470052414012134E-2</v>
      </c>
      <c r="P22">
        <v>-5.2846931433695399E-2</v>
      </c>
      <c r="Q22">
        <v>1.8470052414012134E-2</v>
      </c>
    </row>
    <row r="23" spans="1:17" x14ac:dyDescent="0.3">
      <c r="A23" s="10" t="s">
        <v>64</v>
      </c>
      <c r="B23" s="39" t="s">
        <v>54</v>
      </c>
      <c r="C23" s="39"/>
      <c r="D23" s="39"/>
      <c r="E23" s="39"/>
      <c r="F23" s="39"/>
      <c r="G23" s="39"/>
      <c r="H23" s="39" t="s">
        <v>55</v>
      </c>
      <c r="I23" s="39"/>
      <c r="J23" s="39"/>
      <c r="K23" s="39"/>
      <c r="L23" s="39"/>
      <c r="M23" s="39"/>
    </row>
    <row r="24" spans="1:17" x14ac:dyDescent="0.3">
      <c r="A24" s="3" t="s">
        <v>3</v>
      </c>
      <c r="B24" s="8" t="s">
        <v>51</v>
      </c>
      <c r="C24" s="1" t="s">
        <v>42</v>
      </c>
      <c r="D24" s="8" t="s">
        <v>52</v>
      </c>
      <c r="E24" s="1" t="s">
        <v>42</v>
      </c>
      <c r="F24" s="8" t="s">
        <v>53</v>
      </c>
      <c r="G24" s="1" t="s">
        <v>42</v>
      </c>
      <c r="H24" s="8" t="s">
        <v>51</v>
      </c>
      <c r="I24" s="1" t="s">
        <v>42</v>
      </c>
      <c r="J24" s="8" t="s">
        <v>52</v>
      </c>
      <c r="K24" s="1" t="s">
        <v>42</v>
      </c>
      <c r="L24" s="8" t="s">
        <v>53</v>
      </c>
      <c r="M24" s="1" t="s">
        <v>42</v>
      </c>
    </row>
    <row r="25" spans="1:17" x14ac:dyDescent="0.3">
      <c r="A25" s="2" t="s">
        <v>4</v>
      </c>
      <c r="B25">
        <v>10.311677455418044</v>
      </c>
      <c r="C25">
        <v>3.5760959232071663</v>
      </c>
      <c r="D25">
        <v>0.18563898549831875</v>
      </c>
      <c r="E25">
        <v>0.12849265781605654</v>
      </c>
      <c r="F25">
        <v>2.5671611254642395</v>
      </c>
      <c r="G25">
        <v>0.96884618006598355</v>
      </c>
      <c r="H25">
        <v>12.83945008362979</v>
      </c>
      <c r="I25">
        <v>3.3046493758041198</v>
      </c>
      <c r="J25">
        <v>0.16720851762144201</v>
      </c>
      <c r="K25">
        <v>8.1787353622877382E-2</v>
      </c>
      <c r="L25">
        <v>6.6591765979928894</v>
      </c>
      <c r="M25">
        <v>1.2667212820858751</v>
      </c>
    </row>
    <row r="26" spans="1:17" x14ac:dyDescent="0.3">
      <c r="A26" s="2" t="s">
        <v>11</v>
      </c>
      <c r="B26">
        <v>20.544976296181403</v>
      </c>
      <c r="C26">
        <v>8.5547231216100279</v>
      </c>
      <c r="D26">
        <v>1.0318010734370605E-2</v>
      </c>
      <c r="E26">
        <v>9.9491845093447988E-3</v>
      </c>
      <c r="F26">
        <v>17.442791076162386</v>
      </c>
      <c r="G26">
        <v>13.839285470768715</v>
      </c>
      <c r="H26">
        <v>3.0245741434440645</v>
      </c>
      <c r="I26">
        <v>1.5517001886182786</v>
      </c>
      <c r="J26">
        <v>0.20568340000792856</v>
      </c>
      <c r="K26">
        <v>0.1674860045370874</v>
      </c>
      <c r="L26">
        <v>1.8782128185092966</v>
      </c>
      <c r="M26">
        <v>0.18662648306506588</v>
      </c>
    </row>
    <row r="27" spans="1:17" x14ac:dyDescent="0.3">
      <c r="A27" s="2" t="s">
        <v>17</v>
      </c>
      <c r="B27">
        <v>21.736902852692101</v>
      </c>
      <c r="C27">
        <v>6.3272304441642007</v>
      </c>
      <c r="D27">
        <v>0.14728140564065159</v>
      </c>
      <c r="E27">
        <v>9.6891143258284754E-2</v>
      </c>
      <c r="F27">
        <v>1.2801499142543055E-2</v>
      </c>
      <c r="G27">
        <v>0.16387778821029148</v>
      </c>
      <c r="H27">
        <v>11.449217512669321</v>
      </c>
      <c r="I27">
        <v>5.8916594431327098</v>
      </c>
      <c r="J27">
        <v>0.45068308604390511</v>
      </c>
      <c r="K27">
        <v>0.38908005931389406</v>
      </c>
      <c r="L27">
        <v>24.603442142243441</v>
      </c>
      <c r="M27">
        <v>18.970045878561169</v>
      </c>
    </row>
    <row r="28" spans="1:17" x14ac:dyDescent="0.3">
      <c r="A28" s="2" t="s">
        <v>26</v>
      </c>
      <c r="B28">
        <v>1.010423638357264</v>
      </c>
      <c r="C28">
        <v>0.475888099831345</v>
      </c>
      <c r="D28">
        <v>1.2177418730378782E-2</v>
      </c>
      <c r="E28">
        <v>7.0227756482577775E-3</v>
      </c>
      <c r="F28">
        <v>0.28661189807126436</v>
      </c>
      <c r="G28">
        <v>0.25532938096025198</v>
      </c>
      <c r="H28">
        <v>14.003402138248445</v>
      </c>
      <c r="I28">
        <v>8.120999760236888</v>
      </c>
      <c r="J28">
        <v>1.3644840549769353E-2</v>
      </c>
      <c r="K28">
        <v>8.6305559378156791E-3</v>
      </c>
      <c r="L28">
        <v>2.3065215182759125</v>
      </c>
      <c r="M28">
        <v>0.34023050148377415</v>
      </c>
    </row>
    <row r="29" spans="1:17" x14ac:dyDescent="0.3">
      <c r="A29" s="2" t="s">
        <v>30</v>
      </c>
      <c r="B29">
        <v>6.8552783900177863</v>
      </c>
      <c r="C29">
        <v>1.4466244021787504</v>
      </c>
      <c r="D29">
        <v>5.3904214951775511E-3</v>
      </c>
      <c r="E29">
        <v>1.304773689552751E-3</v>
      </c>
      <c r="F29">
        <v>0.30506318556967266</v>
      </c>
      <c r="G29">
        <v>0.13799428546308265</v>
      </c>
      <c r="H29">
        <v>28.125960634826374</v>
      </c>
      <c r="I29">
        <v>12.408192657650076</v>
      </c>
      <c r="J29">
        <v>5.0751852378223682E-2</v>
      </c>
      <c r="K29">
        <v>3.972233183231854E-2</v>
      </c>
      <c r="L29">
        <v>4.0778733169003845</v>
      </c>
      <c r="M29">
        <v>0.53263222548133293</v>
      </c>
    </row>
  </sheetData>
  <mergeCells count="8">
    <mergeCell ref="P1:Y1"/>
    <mergeCell ref="P8:Y8"/>
    <mergeCell ref="B23:G23"/>
    <mergeCell ref="H23:M23"/>
    <mergeCell ref="B1:K1"/>
    <mergeCell ref="L1:O1"/>
    <mergeCell ref="B8:K8"/>
    <mergeCell ref="L8:O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6D91-30E8-494F-91B4-488609748738}">
  <dimension ref="A1:S104"/>
  <sheetViews>
    <sheetView topLeftCell="A73" workbookViewId="0">
      <selection activeCell="L11" sqref="L11"/>
    </sheetView>
  </sheetViews>
  <sheetFormatPr defaultRowHeight="14" x14ac:dyDescent="0.3"/>
  <cols>
    <col min="1" max="1" width="22.4140625" style="2" customWidth="1"/>
    <col min="2" max="2" width="8.9140625" style="2"/>
    <col min="15" max="19" width="8.9140625"/>
  </cols>
  <sheetData>
    <row r="1" spans="1:19" x14ac:dyDescent="0.3">
      <c r="A1" s="6"/>
      <c r="B1" s="6"/>
      <c r="C1" s="28" t="s">
        <v>0</v>
      </c>
      <c r="D1" s="28"/>
      <c r="E1" s="28"/>
      <c r="F1" s="28"/>
      <c r="G1" s="28"/>
      <c r="H1" s="29" t="s">
        <v>1</v>
      </c>
      <c r="I1" s="29"/>
      <c r="J1" s="30" t="s">
        <v>2</v>
      </c>
      <c r="K1" s="30"/>
      <c r="L1" s="30"/>
      <c r="M1" s="30"/>
      <c r="N1" s="30"/>
      <c r="O1" s="5"/>
      <c r="P1" s="26"/>
      <c r="Q1" s="26"/>
      <c r="R1" s="26"/>
      <c r="S1" s="27"/>
    </row>
    <row r="2" spans="1:19" x14ac:dyDescent="0.3">
      <c r="B2" s="19" t="s">
        <v>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35</v>
      </c>
      <c r="L2" s="1" t="s">
        <v>36</v>
      </c>
      <c r="M2" s="1" t="s">
        <v>37</v>
      </c>
      <c r="N2" s="1" t="s">
        <v>40</v>
      </c>
      <c r="O2" s="1" t="s">
        <v>47</v>
      </c>
      <c r="P2" s="24" t="s">
        <v>132</v>
      </c>
      <c r="Q2" s="24" t="s">
        <v>133</v>
      </c>
      <c r="R2" s="24" t="s">
        <v>134</v>
      </c>
      <c r="S2" s="24" t="s">
        <v>136</v>
      </c>
    </row>
    <row r="3" spans="1:19" x14ac:dyDescent="0.3">
      <c r="A3" s="41" t="s">
        <v>137</v>
      </c>
      <c r="B3" t="s">
        <v>74</v>
      </c>
      <c r="C3">
        <v>4.3636586513923996</v>
      </c>
      <c r="D3">
        <v>5.1407074497443199</v>
      </c>
      <c r="E3">
        <v>6.4671984451528699</v>
      </c>
      <c r="F3">
        <v>9.4798799480315399</v>
      </c>
      <c r="G3">
        <v>17.426109737296301</v>
      </c>
      <c r="H3">
        <v>-3.8119507983725298</v>
      </c>
      <c r="I3">
        <v>12.8521064876022</v>
      </c>
      <c r="J3">
        <v>3.3192056335272099E-2</v>
      </c>
      <c r="K3">
        <v>0.12226788991207101</v>
      </c>
      <c r="L3">
        <v>1.76986120052108E-2</v>
      </c>
      <c r="M3">
        <v>0.120784142877338</v>
      </c>
      <c r="N3">
        <v>0.68413030418863896</v>
      </c>
      <c r="O3">
        <v>5.8</v>
      </c>
      <c r="P3">
        <v>1.01</v>
      </c>
      <c r="Q3">
        <v>0.17799999999999999</v>
      </c>
      <c r="R3">
        <v>2.5099999999999998</v>
      </c>
      <c r="S3" s="23">
        <v>375.90226376480979</v>
      </c>
    </row>
    <row r="4" spans="1:19" x14ac:dyDescent="0.3">
      <c r="A4" s="41"/>
      <c r="B4" t="s">
        <v>73</v>
      </c>
      <c r="C4">
        <v>5.1584713731079104</v>
      </c>
      <c r="D4">
        <v>15.358124572828601</v>
      </c>
      <c r="E4">
        <v>19.993679358632502</v>
      </c>
      <c r="F4">
        <v>29.279231981948602</v>
      </c>
      <c r="G4">
        <v>11.888958399566899</v>
      </c>
      <c r="H4">
        <v>-9.8632839390333693</v>
      </c>
      <c r="I4">
        <v>8.3883245384584608</v>
      </c>
      <c r="J4">
        <v>3.41589415763279E-2</v>
      </c>
      <c r="K4">
        <v>6.08274443636019E-2</v>
      </c>
      <c r="L4">
        <v>-0.153402520282752</v>
      </c>
      <c r="M4">
        <v>-8.7138437653288298E-2</v>
      </c>
      <c r="N4">
        <v>0.39846107485490401</v>
      </c>
      <c r="O4">
        <v>5.42</v>
      </c>
      <c r="P4">
        <v>1.18</v>
      </c>
      <c r="Q4">
        <v>0.23</v>
      </c>
      <c r="R4">
        <v>2.78</v>
      </c>
      <c r="S4" s="23">
        <v>406.1300792490922</v>
      </c>
    </row>
    <row r="5" spans="1:19" x14ac:dyDescent="0.3">
      <c r="A5" s="41"/>
      <c r="B5" t="s">
        <v>75</v>
      </c>
      <c r="C5">
        <v>5.0939845599576801</v>
      </c>
      <c r="D5">
        <v>9.7291155277886201</v>
      </c>
      <c r="E5">
        <v>6.5692367529580196</v>
      </c>
      <c r="F5">
        <v>12.9330713718137</v>
      </c>
      <c r="G5">
        <v>19.661705233410199</v>
      </c>
      <c r="H5">
        <v>-12.5152386204406</v>
      </c>
      <c r="I5">
        <v>13.1423755426112</v>
      </c>
      <c r="J5">
        <v>5.60634343875537E-2</v>
      </c>
      <c r="K5">
        <v>0.16997379778487801</v>
      </c>
      <c r="L5">
        <v>-6.0227012761730099E-2</v>
      </c>
      <c r="M5">
        <v>9.5413372748528499E-2</v>
      </c>
      <c r="N5">
        <v>0.69791462972443696</v>
      </c>
      <c r="O5">
        <v>5.55</v>
      </c>
      <c r="P5" s="21">
        <v>1.22</v>
      </c>
      <c r="Q5" s="21">
        <v>0.19740857018948493</v>
      </c>
      <c r="R5" s="21">
        <v>1.0337969812887347</v>
      </c>
      <c r="S5" s="23">
        <v>224.77604389311296</v>
      </c>
    </row>
    <row r="6" spans="1:19" x14ac:dyDescent="0.3">
      <c r="A6" s="41"/>
      <c r="B6" t="s">
        <v>77</v>
      </c>
      <c r="C6">
        <v>6.4146246600763499</v>
      </c>
      <c r="D6">
        <v>9.7769082773679798</v>
      </c>
      <c r="E6">
        <v>10.883254172175301</v>
      </c>
      <c r="F6">
        <v>18.677893308223801</v>
      </c>
      <c r="G6">
        <v>15.445283837059099</v>
      </c>
      <c r="H6">
        <v>-14.978209049932101</v>
      </c>
      <c r="I6">
        <v>8.7257978905875095</v>
      </c>
      <c r="J6">
        <v>5.7391636483524897E-2</v>
      </c>
      <c r="K6">
        <v>0.180375384226546</v>
      </c>
      <c r="L6">
        <v>2.68970052708483E-2</v>
      </c>
      <c r="M6">
        <v>0.16474409772239701</v>
      </c>
      <c r="N6">
        <v>0.37241851481590399</v>
      </c>
      <c r="O6">
        <v>5.19</v>
      </c>
      <c r="P6" s="22">
        <v>18.43</v>
      </c>
      <c r="Q6" s="22">
        <v>-2E-3</v>
      </c>
      <c r="R6" s="22">
        <v>1.36</v>
      </c>
      <c r="S6" s="23">
        <v>374.26632029417044</v>
      </c>
    </row>
    <row r="7" spans="1:19" x14ac:dyDescent="0.3">
      <c r="A7" s="41"/>
      <c r="B7" t="s">
        <v>78</v>
      </c>
      <c r="C7">
        <v>6.5930038000726698</v>
      </c>
      <c r="D7">
        <v>11.9160328889024</v>
      </c>
      <c r="E7">
        <v>7.7301323521636203</v>
      </c>
      <c r="F7">
        <v>16.0012808121262</v>
      </c>
      <c r="G7">
        <v>18.267344102163001</v>
      </c>
      <c r="H7">
        <v>-17.1338976418409</v>
      </c>
      <c r="I7">
        <v>9.7908202242204503</v>
      </c>
      <c r="J7">
        <v>5.3271056411234197E-2</v>
      </c>
      <c r="K7">
        <v>0.18813761379487701</v>
      </c>
      <c r="L7">
        <v>-5.2339607624704099E-3</v>
      </c>
      <c r="M7">
        <v>0.15452337263056501</v>
      </c>
      <c r="N7">
        <v>0.42153330216099599</v>
      </c>
      <c r="O7">
        <v>5.51</v>
      </c>
      <c r="P7" s="22">
        <v>19.09</v>
      </c>
      <c r="Q7" s="22">
        <v>-1E-3</v>
      </c>
      <c r="R7" s="22">
        <v>0.97</v>
      </c>
      <c r="S7" s="23">
        <v>418.24904857328636</v>
      </c>
    </row>
    <row r="8" spans="1:19" x14ac:dyDescent="0.3">
      <c r="A8" s="41"/>
      <c r="B8" t="s">
        <v>76</v>
      </c>
      <c r="C8">
        <v>8.1655346831163893</v>
      </c>
      <c r="D8">
        <v>18.044465709290598</v>
      </c>
      <c r="E8">
        <v>15.272962090719901</v>
      </c>
      <c r="F8">
        <v>18.420641556052502</v>
      </c>
      <c r="G8">
        <v>22.780041536728099</v>
      </c>
      <c r="H8">
        <v>-5.2744091056154998</v>
      </c>
      <c r="I8">
        <v>12.0581721159719</v>
      </c>
      <c r="J8">
        <v>6.5781237398484793E-2</v>
      </c>
      <c r="K8">
        <v>0.16950220572181601</v>
      </c>
      <c r="L8">
        <v>-6.8225658335452605E-2</v>
      </c>
      <c r="M8">
        <v>9.5662023002451399E-2</v>
      </c>
      <c r="N8">
        <v>0.41604740515681599</v>
      </c>
      <c r="O8">
        <v>5.62</v>
      </c>
      <c r="P8" s="21">
        <v>23.184586736883201</v>
      </c>
      <c r="Q8" s="21">
        <v>3.1245906850589193E-3</v>
      </c>
      <c r="R8" s="21">
        <v>0.31113452331253494</v>
      </c>
      <c r="S8" s="23">
        <v>407.32886176855556</v>
      </c>
    </row>
    <row r="9" spans="1:19" x14ac:dyDescent="0.3">
      <c r="A9" s="41"/>
      <c r="B9" t="s">
        <v>80</v>
      </c>
      <c r="C9">
        <v>5.8046441991546898</v>
      </c>
      <c r="D9">
        <v>29.608355723548499</v>
      </c>
      <c r="E9">
        <v>13.044452397155499</v>
      </c>
      <c r="F9">
        <v>36.290552431551802</v>
      </c>
      <c r="G9">
        <v>4.0902589474931101</v>
      </c>
      <c r="H9">
        <v>13.161836968481801</v>
      </c>
      <c r="I9">
        <v>1.6414040134936201</v>
      </c>
      <c r="J9">
        <v>3.8831904606244499E-2</v>
      </c>
      <c r="K9">
        <v>0.64044056173101205</v>
      </c>
      <c r="L9">
        <v>-3.7529895107488997E-2</v>
      </c>
      <c r="M9">
        <v>0.56878957576564904</v>
      </c>
      <c r="N9">
        <v>0.134939337947898</v>
      </c>
      <c r="O9">
        <v>5.04</v>
      </c>
      <c r="P9" s="22">
        <v>8.4</v>
      </c>
      <c r="Q9" s="22">
        <v>-7.0000000000000001E-3</v>
      </c>
      <c r="R9" s="22">
        <v>2.33</v>
      </c>
      <c r="S9" s="23">
        <v>1055.4937986364096</v>
      </c>
    </row>
    <row r="10" spans="1:19" x14ac:dyDescent="0.3">
      <c r="A10" s="41"/>
      <c r="B10" t="s">
        <v>81</v>
      </c>
      <c r="C10">
        <v>10.514682916178399</v>
      </c>
      <c r="D10">
        <v>63.093532339313001</v>
      </c>
      <c r="E10">
        <v>11.053530073174301</v>
      </c>
      <c r="F10">
        <v>66.251807253971094</v>
      </c>
      <c r="G10">
        <v>16.560246857606099</v>
      </c>
      <c r="H10">
        <v>37.119787762332201</v>
      </c>
      <c r="I10">
        <v>6.4682548725821496</v>
      </c>
      <c r="J10">
        <v>0.147413014700843</v>
      </c>
      <c r="K10">
        <v>1.1821682484379601</v>
      </c>
      <c r="L10">
        <v>-0.153244937204217</v>
      </c>
      <c r="M10">
        <v>0.95841507172407503</v>
      </c>
      <c r="N10">
        <v>0.51682153750440896</v>
      </c>
      <c r="O10">
        <v>5.17</v>
      </c>
      <c r="P10" s="22">
        <v>9.56</v>
      </c>
      <c r="Q10" s="22">
        <v>1E-3</v>
      </c>
      <c r="R10" s="22">
        <v>2.5299999999999998</v>
      </c>
      <c r="S10" s="23">
        <v>1110.2392797092346</v>
      </c>
    </row>
    <row r="11" spans="1:19" x14ac:dyDescent="0.3">
      <c r="A11" s="41"/>
      <c r="B11" t="s">
        <v>79</v>
      </c>
      <c r="C11">
        <v>19.071639815647099</v>
      </c>
      <c r="D11">
        <v>80.641125491249795</v>
      </c>
      <c r="E11">
        <v>17.317534783992102</v>
      </c>
      <c r="F11">
        <v>84.982118475646104</v>
      </c>
      <c r="G11">
        <v>10.574806897253399</v>
      </c>
      <c r="H11">
        <v>33.044192223851603</v>
      </c>
      <c r="I11">
        <v>5.2623424933827003</v>
      </c>
      <c r="J11">
        <v>0.37139780402702999</v>
      </c>
      <c r="K11">
        <v>1.14675146988646</v>
      </c>
      <c r="L11">
        <v>-6.29373538509891E-2</v>
      </c>
      <c r="M11">
        <v>1.02947730513705</v>
      </c>
      <c r="N11">
        <v>0.37262620287154802</v>
      </c>
      <c r="O11">
        <v>5.09</v>
      </c>
      <c r="P11" s="21">
        <v>10.677403760121139</v>
      </c>
      <c r="Q11" s="21">
        <v>-2.5359058317624152E-3</v>
      </c>
      <c r="R11" s="21">
        <v>1.3530052664857335</v>
      </c>
      <c r="S11" s="23">
        <v>972.48276645416695</v>
      </c>
    </row>
    <row r="12" spans="1:19" x14ac:dyDescent="0.3">
      <c r="A12" s="41" t="s">
        <v>100</v>
      </c>
      <c r="B12" t="s">
        <v>82</v>
      </c>
      <c r="C12">
        <v>13.755244998853801</v>
      </c>
      <c r="D12">
        <v>72.995698562596502</v>
      </c>
      <c r="E12">
        <v>15.923921566814901</v>
      </c>
      <c r="F12">
        <v>83.821040053001099</v>
      </c>
      <c r="G12">
        <v>13.3414075235873</v>
      </c>
      <c r="H12">
        <v>8.4222227381182098</v>
      </c>
      <c r="I12">
        <v>8.0802321354118192</v>
      </c>
      <c r="J12">
        <v>0.194558392633883</v>
      </c>
      <c r="K12">
        <v>1.2058452263411701</v>
      </c>
      <c r="L12">
        <v>0.33919685675644501</v>
      </c>
      <c r="M12">
        <v>1.45844236824114</v>
      </c>
      <c r="N12">
        <v>0.51718773565611698</v>
      </c>
      <c r="O12">
        <v>6.51</v>
      </c>
      <c r="P12" s="22">
        <v>1.7723929630953446</v>
      </c>
      <c r="Q12" s="22">
        <v>1.5759126219438757E-2</v>
      </c>
      <c r="R12" s="22">
        <v>13.714053716528161</v>
      </c>
      <c r="S12" s="23">
        <v>452.97679255142401</v>
      </c>
    </row>
    <row r="13" spans="1:19" x14ac:dyDescent="0.3">
      <c r="A13" s="41"/>
      <c r="B13" t="s">
        <v>83</v>
      </c>
      <c r="C13">
        <v>21.037966844162401</v>
      </c>
      <c r="D13">
        <v>110.956210150049</v>
      </c>
      <c r="E13">
        <v>21.822196297382401</v>
      </c>
      <c r="F13">
        <v>112.972644653975</v>
      </c>
      <c r="G13">
        <v>18.464170154928901</v>
      </c>
      <c r="H13">
        <v>2.2871005562546198</v>
      </c>
      <c r="I13">
        <v>7.3216525232708696</v>
      </c>
      <c r="J13">
        <v>0.28383253902955002</v>
      </c>
      <c r="K13">
        <v>1.64987329239125</v>
      </c>
      <c r="L13">
        <v>-0.201122466532171</v>
      </c>
      <c r="M13">
        <v>1.36335260401817</v>
      </c>
      <c r="N13">
        <v>0.51502384258147904</v>
      </c>
      <c r="O13">
        <v>5.76</v>
      </c>
      <c r="P13" s="22">
        <v>1.2100354592976499</v>
      </c>
      <c r="Q13" s="22">
        <v>0.13724255389618212</v>
      </c>
      <c r="R13" s="22">
        <v>2.7364316405047706</v>
      </c>
      <c r="S13" s="23">
        <v>606.02642449706161</v>
      </c>
    </row>
    <row r="14" spans="1:19" x14ac:dyDescent="0.3">
      <c r="A14" s="41"/>
      <c r="B14" t="s">
        <v>84</v>
      </c>
      <c r="C14">
        <v>14.759391662009399</v>
      </c>
      <c r="D14">
        <v>59.048223027429302</v>
      </c>
      <c r="E14">
        <v>14.9233787442262</v>
      </c>
      <c r="F14">
        <v>72.558540021375194</v>
      </c>
      <c r="G14">
        <v>13.687691738016399</v>
      </c>
      <c r="H14">
        <v>1.0536187233072201</v>
      </c>
      <c r="I14">
        <v>7.9647117683266897</v>
      </c>
      <c r="J14">
        <v>0.15345850675518699</v>
      </c>
      <c r="K14">
        <v>0.894641193473805</v>
      </c>
      <c r="L14">
        <v>0.33179188000167698</v>
      </c>
      <c r="M14">
        <v>1.14165353142341</v>
      </c>
      <c r="N14">
        <v>0.51223181780354998</v>
      </c>
      <c r="O14">
        <v>6.37</v>
      </c>
      <c r="P14" s="22">
        <v>1.1524102260302438</v>
      </c>
      <c r="Q14" s="22">
        <v>3.0378120825612961E-2</v>
      </c>
      <c r="R14" s="22">
        <v>2.2475795485078738</v>
      </c>
      <c r="S14" s="23">
        <v>708.53006002945756</v>
      </c>
    </row>
    <row r="15" spans="1:19" x14ac:dyDescent="0.3">
      <c r="A15" s="41"/>
      <c r="B15" t="s">
        <v>85</v>
      </c>
      <c r="C15">
        <v>3.0955886381503199</v>
      </c>
      <c r="D15">
        <v>7.7149580066981098</v>
      </c>
      <c r="E15">
        <v>13.3342026180459</v>
      </c>
      <c r="F15">
        <v>19.3184376057302</v>
      </c>
      <c r="G15">
        <v>20.966989798915399</v>
      </c>
      <c r="H15">
        <v>-13.5674883324494</v>
      </c>
      <c r="I15">
        <v>14.724282545349199</v>
      </c>
      <c r="J15">
        <v>-1.8462390170891602E-2</v>
      </c>
      <c r="K15">
        <v>0.11947535544955699</v>
      </c>
      <c r="L15">
        <v>0.212425607141004</v>
      </c>
      <c r="M15">
        <v>0.29725340097125602</v>
      </c>
      <c r="N15">
        <v>0.73940897351607004</v>
      </c>
      <c r="O15">
        <v>5.58</v>
      </c>
      <c r="P15" s="22">
        <v>18.162025742411497</v>
      </c>
      <c r="Q15" s="22">
        <v>7.3788929880531208E-3</v>
      </c>
      <c r="R15" s="22">
        <v>0.54091582706956176</v>
      </c>
      <c r="S15" s="23">
        <v>437.47916545171029</v>
      </c>
    </row>
    <row r="16" spans="1:19" x14ac:dyDescent="0.3">
      <c r="A16" s="41"/>
      <c r="B16" t="s">
        <v>86</v>
      </c>
      <c r="C16">
        <v>3.9751882127390701</v>
      </c>
      <c r="D16">
        <v>7.6435654536344897</v>
      </c>
      <c r="E16">
        <v>13.283784899568699</v>
      </c>
      <c r="F16">
        <v>20.331096636253601</v>
      </c>
      <c r="G16">
        <v>21.548908496189298</v>
      </c>
      <c r="H16">
        <v>-15.2762126584666</v>
      </c>
      <c r="I16">
        <v>14.795308803224099</v>
      </c>
      <c r="J16">
        <v>-3.674975455893E-3</v>
      </c>
      <c r="K16">
        <v>0.13468791283988499</v>
      </c>
      <c r="L16">
        <v>0.21832227412029001</v>
      </c>
      <c r="M16">
        <v>0.32129845155987702</v>
      </c>
      <c r="N16">
        <v>0.74252855649032201</v>
      </c>
      <c r="O16">
        <v>5.26</v>
      </c>
      <c r="P16" s="22">
        <v>19.825665798498438</v>
      </c>
      <c r="Q16" s="22">
        <v>7.0075388069818972E-2</v>
      </c>
      <c r="R16" s="22">
        <v>1.2380428361328915</v>
      </c>
      <c r="S16" s="23">
        <v>456.66708499272102</v>
      </c>
    </row>
    <row r="17" spans="1:19" x14ac:dyDescent="0.3">
      <c r="A17" s="41"/>
      <c r="B17" t="s">
        <v>87</v>
      </c>
      <c r="C17">
        <v>4.4131085210609804</v>
      </c>
      <c r="D17">
        <v>6.4904730912263204</v>
      </c>
      <c r="E17">
        <v>12.0921084813028</v>
      </c>
      <c r="F17">
        <v>16.3233990919367</v>
      </c>
      <c r="G17">
        <v>22.214867804466799</v>
      </c>
      <c r="H17">
        <v>-18.701874220324299</v>
      </c>
      <c r="I17">
        <v>14.703431950546699</v>
      </c>
      <c r="J17">
        <v>-1.20578742555055E-2</v>
      </c>
      <c r="K17">
        <v>0.10235224508049701</v>
      </c>
      <c r="L17">
        <v>0.17720844101594299</v>
      </c>
      <c r="M17">
        <v>0.240531804911224</v>
      </c>
      <c r="N17">
        <v>0.73810179046897095</v>
      </c>
      <c r="O17">
        <v>6.16</v>
      </c>
      <c r="P17" s="22">
        <v>21.055943325655274</v>
      </c>
      <c r="Q17" s="22">
        <v>0.12597138850349357</v>
      </c>
      <c r="R17" s="22">
        <v>2.0111387218260623</v>
      </c>
      <c r="S17" s="23">
        <v>417.46292111786005</v>
      </c>
    </row>
    <row r="18" spans="1:19" x14ac:dyDescent="0.3">
      <c r="A18" s="41"/>
      <c r="B18" t="s">
        <v>88</v>
      </c>
      <c r="C18">
        <v>4.1343304738132796</v>
      </c>
      <c r="D18">
        <v>8.6711827655587204</v>
      </c>
      <c r="E18">
        <v>12.4458469059634</v>
      </c>
      <c r="F18">
        <v>19.33924623719</v>
      </c>
      <c r="G18">
        <v>15.102180067904101</v>
      </c>
      <c r="H18">
        <v>-75.164226296727605</v>
      </c>
      <c r="I18">
        <v>9.0869843623244506</v>
      </c>
      <c r="J18">
        <v>-2.160727611152E-2</v>
      </c>
      <c r="K18">
        <v>0.34349329072158802</v>
      </c>
      <c r="L18">
        <v>0.32849512008764697</v>
      </c>
      <c r="M18">
        <v>0.63608827665353795</v>
      </c>
      <c r="N18">
        <v>0.75765165611166096</v>
      </c>
      <c r="O18">
        <v>5.13</v>
      </c>
      <c r="P18" s="22">
        <v>7.878802725192549</v>
      </c>
      <c r="Q18" s="22">
        <v>-1.4738976100505509E-2</v>
      </c>
      <c r="R18" s="22">
        <v>1.7284171377971771</v>
      </c>
      <c r="S18" s="23">
        <v>1109.5253508244798</v>
      </c>
    </row>
    <row r="19" spans="1:19" x14ac:dyDescent="0.3">
      <c r="A19" s="41"/>
      <c r="B19" t="s">
        <v>89</v>
      </c>
      <c r="C19">
        <v>3.9052997979718702</v>
      </c>
      <c r="D19">
        <v>9.2271820852275006</v>
      </c>
      <c r="E19">
        <v>14.284884502631799</v>
      </c>
      <c r="F19">
        <v>20.952621538614299</v>
      </c>
      <c r="G19">
        <v>15.0952493975217</v>
      </c>
      <c r="H19">
        <v>-78.942993478740803</v>
      </c>
      <c r="I19">
        <v>9.2358593507421691</v>
      </c>
      <c r="J19">
        <v>-4.23980499416294E-2</v>
      </c>
      <c r="K19">
        <v>0.29777068567373199</v>
      </c>
      <c r="L19">
        <v>0.35726363676594403</v>
      </c>
      <c r="M19">
        <v>0.62045013171400099</v>
      </c>
      <c r="N19">
        <v>0.76948904287665998</v>
      </c>
      <c r="O19">
        <v>5.44</v>
      </c>
      <c r="P19" s="22">
        <v>9.7099755091614632</v>
      </c>
      <c r="Q19" s="22">
        <v>-1.4425934586535714E-2</v>
      </c>
      <c r="R19" s="22">
        <v>2.4035851652413909</v>
      </c>
      <c r="S19" s="23">
        <v>1168.9785649101998</v>
      </c>
    </row>
    <row r="20" spans="1:19" x14ac:dyDescent="0.3">
      <c r="A20" s="41"/>
      <c r="B20" t="s">
        <v>90</v>
      </c>
      <c r="C20">
        <v>4.1728619014510198</v>
      </c>
      <c r="D20">
        <v>7.5180904031505396</v>
      </c>
      <c r="E20">
        <v>13.7347521533347</v>
      </c>
      <c r="F20">
        <v>19.8898938161798</v>
      </c>
      <c r="G20">
        <v>15.7763830512647</v>
      </c>
      <c r="H20">
        <v>-82.706990309473994</v>
      </c>
      <c r="I20">
        <v>9.3307704763851405</v>
      </c>
      <c r="J20">
        <v>-3.61682475921302E-2</v>
      </c>
      <c r="K20">
        <v>0.24794302735276399</v>
      </c>
      <c r="L20">
        <v>0.32907624110719902</v>
      </c>
      <c r="M20">
        <v>0.54352613991538901</v>
      </c>
      <c r="N20">
        <v>0.77361275204299795</v>
      </c>
      <c r="O20">
        <v>5.17</v>
      </c>
      <c r="P20" s="22">
        <v>9.5116032946324527</v>
      </c>
      <c r="Q20" s="22">
        <v>-1.8461464668435994E-2</v>
      </c>
      <c r="R20" s="22">
        <v>2.3736091630952245</v>
      </c>
      <c r="S20" s="23">
        <v>1006.0623627161563</v>
      </c>
    </row>
    <row r="21" spans="1:19" x14ac:dyDescent="0.3">
      <c r="A21" s="41" t="s">
        <v>101</v>
      </c>
      <c r="B21" t="s">
        <v>91</v>
      </c>
      <c r="C21">
        <v>8.06694575565432</v>
      </c>
      <c r="D21">
        <v>49.012188495764697</v>
      </c>
      <c r="E21">
        <v>12.9294980045901</v>
      </c>
      <c r="F21">
        <v>57.4207287703939</v>
      </c>
      <c r="G21">
        <v>31.994417671045301</v>
      </c>
      <c r="H21">
        <v>84.441768367519103</v>
      </c>
      <c r="I21">
        <v>21.368381746623498</v>
      </c>
      <c r="J21">
        <v>0.10087237570723</v>
      </c>
      <c r="K21">
        <v>0.87312308607619404</v>
      </c>
      <c r="L21">
        <v>0.22908541203268101</v>
      </c>
      <c r="M21">
        <v>1.01623827776151</v>
      </c>
      <c r="N21">
        <v>1.34028551720897</v>
      </c>
      <c r="O21">
        <v>5.86</v>
      </c>
      <c r="P21" s="22">
        <v>1.0808622578089053</v>
      </c>
      <c r="Q21" s="22">
        <v>1.8333260697305866E-2</v>
      </c>
      <c r="R21" s="22">
        <v>1.9748396702764575</v>
      </c>
      <c r="S21" s="23">
        <v>499.16589591126501</v>
      </c>
    </row>
    <row r="22" spans="1:19" x14ac:dyDescent="0.3">
      <c r="A22" s="41"/>
      <c r="B22" t="s">
        <v>92</v>
      </c>
      <c r="C22">
        <v>11.0200983142434</v>
      </c>
      <c r="D22">
        <v>56.402377282781799</v>
      </c>
      <c r="E22">
        <v>13.375753399714799</v>
      </c>
      <c r="F22">
        <v>65.4117252400316</v>
      </c>
      <c r="G22">
        <v>31.465218605553002</v>
      </c>
      <c r="H22">
        <v>72.788806536180005</v>
      </c>
      <c r="I22">
        <v>21.2311571090986</v>
      </c>
      <c r="J22">
        <v>0.15969437808047501</v>
      </c>
      <c r="K22">
        <v>1.0283992701282301</v>
      </c>
      <c r="L22">
        <v>0.29131341372042702</v>
      </c>
      <c r="M22">
        <v>1.2687113623903501</v>
      </c>
      <c r="N22">
        <v>1.3353088986741199</v>
      </c>
      <c r="O22">
        <v>6.36</v>
      </c>
      <c r="P22" s="22">
        <v>1.0942739536790724</v>
      </c>
      <c r="Q22" s="22">
        <v>4.6476014724823329E-2</v>
      </c>
      <c r="R22" s="22">
        <v>2.0342586913975627</v>
      </c>
      <c r="S22" s="23">
        <v>643.23553998115244</v>
      </c>
    </row>
    <row r="23" spans="1:19" x14ac:dyDescent="0.3">
      <c r="A23" s="41"/>
      <c r="B23" t="s">
        <v>93</v>
      </c>
      <c r="C23">
        <v>13.445001932444301</v>
      </c>
      <c r="D23">
        <v>59.405185792747403</v>
      </c>
      <c r="E23">
        <v>12.351385358917099</v>
      </c>
      <c r="F23">
        <v>68.557864559160393</v>
      </c>
      <c r="G23">
        <v>30.2097866678941</v>
      </c>
      <c r="H23">
        <v>55.929134560529697</v>
      </c>
      <c r="I23">
        <v>20.847500374614899</v>
      </c>
      <c r="J23">
        <v>0.186811727642959</v>
      </c>
      <c r="K23">
        <v>0.94723126277749004</v>
      </c>
      <c r="L23">
        <v>0.28477610417446902</v>
      </c>
      <c r="M23">
        <v>1.19241316632459</v>
      </c>
      <c r="N23">
        <v>1.31459864588566</v>
      </c>
      <c r="O23">
        <v>6.37</v>
      </c>
      <c r="P23" s="22">
        <v>1.3364822545470825</v>
      </c>
      <c r="Q23" s="22">
        <v>3.8220671568458438E-2</v>
      </c>
      <c r="R23" s="22">
        <v>1.8361590195171382</v>
      </c>
      <c r="S23" s="23">
        <v>618.99018455483497</v>
      </c>
    </row>
    <row r="24" spans="1:19" x14ac:dyDescent="0.3">
      <c r="A24" s="41"/>
      <c r="B24" t="s">
        <v>94</v>
      </c>
      <c r="C24">
        <v>3.0306641539964501</v>
      </c>
      <c r="D24">
        <v>8.1498035571765204</v>
      </c>
      <c r="E24">
        <v>13.486826949272301</v>
      </c>
      <c r="F24">
        <v>18.086481859714301</v>
      </c>
      <c r="G24">
        <v>3.8925320000000001</v>
      </c>
      <c r="H24">
        <v>-51.852132755345004</v>
      </c>
      <c r="I24">
        <v>2.5812604532374102</v>
      </c>
      <c r="J24">
        <v>-5.0023352686400296E-3</v>
      </c>
      <c r="K24">
        <v>0.136369711973823</v>
      </c>
      <c r="L24">
        <v>0.110924780402988</v>
      </c>
      <c r="M24">
        <v>0.221635233357457</v>
      </c>
      <c r="N24">
        <v>0.12836306623896501</v>
      </c>
      <c r="O24">
        <v>5.37</v>
      </c>
      <c r="P24" s="22">
        <v>21.395605937575269</v>
      </c>
      <c r="Q24" s="22">
        <v>7.7387938946404198E-3</v>
      </c>
      <c r="R24" s="22">
        <v>1.7243646699575343</v>
      </c>
      <c r="S24" s="23">
        <v>455.68896947992664</v>
      </c>
    </row>
    <row r="25" spans="1:19" x14ac:dyDescent="0.3">
      <c r="A25" s="41"/>
      <c r="B25" t="s">
        <v>95</v>
      </c>
      <c r="C25">
        <v>2.9187097278675802</v>
      </c>
      <c r="D25">
        <v>8.0892308276595006</v>
      </c>
      <c r="E25">
        <v>19.481499493311901</v>
      </c>
      <c r="F25">
        <v>21.9242450171614</v>
      </c>
      <c r="G25">
        <v>3.745679</v>
      </c>
      <c r="H25">
        <v>-54.532406316326004</v>
      </c>
      <c r="I25">
        <v>2.7227700578512399</v>
      </c>
      <c r="J25">
        <v>-6.8880651817739896E-3</v>
      </c>
      <c r="K25">
        <v>0.14041468239682101</v>
      </c>
      <c r="L25">
        <v>0.128256572187299</v>
      </c>
      <c r="M25">
        <v>0.237588829512836</v>
      </c>
      <c r="N25">
        <v>0.123955875147683</v>
      </c>
      <c r="O25">
        <v>6.08</v>
      </c>
      <c r="P25" s="22">
        <v>22.14421308338888</v>
      </c>
      <c r="Q25" s="22">
        <v>9.5257267655165373E-3</v>
      </c>
      <c r="R25" s="22">
        <v>3.2931678778243518</v>
      </c>
      <c r="S25" s="23">
        <v>386.54783559778349</v>
      </c>
    </row>
    <row r="26" spans="1:19" x14ac:dyDescent="0.3">
      <c r="A26" s="41"/>
      <c r="B26" t="s">
        <v>96</v>
      </c>
      <c r="C26">
        <v>2.9787339870665699</v>
      </c>
      <c r="D26">
        <v>5.8436188323601801</v>
      </c>
      <c r="E26">
        <v>15.203431012675001</v>
      </c>
      <c r="F26">
        <v>17.271903715563202</v>
      </c>
      <c r="G26">
        <v>3.7405219999999999</v>
      </c>
      <c r="H26">
        <v>-56.174499143709497</v>
      </c>
      <c r="I26">
        <v>2.38922227142857</v>
      </c>
      <c r="J26">
        <v>-1.2349646979672901E-2</v>
      </c>
      <c r="K26">
        <v>9.6731255172560496E-2</v>
      </c>
      <c r="L26">
        <v>0.124078442760821</v>
      </c>
      <c r="M26">
        <v>0.194285310192752</v>
      </c>
      <c r="N26">
        <v>0.119534668051195</v>
      </c>
      <c r="O26">
        <v>5.32</v>
      </c>
      <c r="P26" s="22">
        <v>19.750605167681186</v>
      </c>
      <c r="Q26" s="22">
        <v>1.1540108951173298E-2</v>
      </c>
      <c r="R26" s="22">
        <v>1.9351027003673746</v>
      </c>
      <c r="S26" s="23">
        <v>496.58478920427183</v>
      </c>
    </row>
    <row r="27" spans="1:19" x14ac:dyDescent="0.3">
      <c r="A27" s="41"/>
      <c r="B27" t="s">
        <v>97</v>
      </c>
      <c r="C27">
        <v>2.9856729676052902</v>
      </c>
      <c r="D27">
        <v>7.3493450772813498</v>
      </c>
      <c r="E27">
        <v>16.520865026740299</v>
      </c>
      <c r="F27">
        <v>18.385212064995901</v>
      </c>
      <c r="G27">
        <v>32.0655609194189</v>
      </c>
      <c r="H27">
        <v>80.167862373367399</v>
      </c>
      <c r="I27">
        <v>12.2139166842209</v>
      </c>
      <c r="J27">
        <v>-4.2644962085717802E-2</v>
      </c>
      <c r="K27">
        <v>0.24630264073875299</v>
      </c>
      <c r="L27">
        <v>0.27043185936950598</v>
      </c>
      <c r="M27">
        <v>0.49255303851909399</v>
      </c>
      <c r="N27">
        <v>1.0107134743786299</v>
      </c>
      <c r="O27">
        <v>5.42</v>
      </c>
      <c r="P27" s="22">
        <v>8.0350858686223194</v>
      </c>
      <c r="Q27" s="22">
        <v>4.6904144938625268E-3</v>
      </c>
      <c r="R27" s="22">
        <v>0.41253932664074205</v>
      </c>
      <c r="S27" s="23">
        <v>852.34595267112536</v>
      </c>
    </row>
    <row r="28" spans="1:19" x14ac:dyDescent="0.3">
      <c r="A28" s="41"/>
      <c r="B28" t="s">
        <v>98</v>
      </c>
      <c r="C28">
        <v>2.5632427906895701</v>
      </c>
      <c r="D28">
        <v>8.3315300558839098</v>
      </c>
      <c r="E28">
        <v>16.4790400099123</v>
      </c>
      <c r="F28">
        <v>22.391882444533</v>
      </c>
      <c r="G28">
        <v>33.396615279715199</v>
      </c>
      <c r="H28">
        <v>75.153950948917398</v>
      </c>
      <c r="I28">
        <v>12.2389088552414</v>
      </c>
      <c r="J28">
        <v>-3.60469979197163E-2</v>
      </c>
      <c r="K28">
        <v>0.32255001171525299</v>
      </c>
      <c r="L28">
        <v>0.305383118764608</v>
      </c>
      <c r="M28">
        <v>0.59325728090699203</v>
      </c>
      <c r="N28">
        <v>1.01235228688482</v>
      </c>
      <c r="O28">
        <v>5.28</v>
      </c>
      <c r="P28" s="22">
        <v>14.759178806937358</v>
      </c>
      <c r="Q28" s="22">
        <v>6.30300768025315E-3</v>
      </c>
      <c r="R28" s="22">
        <v>2.7744625495120609</v>
      </c>
      <c r="S28" s="23">
        <v>1217.905475486672</v>
      </c>
    </row>
    <row r="29" spans="1:19" x14ac:dyDescent="0.3">
      <c r="A29" s="41"/>
      <c r="B29" t="s">
        <v>99</v>
      </c>
      <c r="C29">
        <v>2.6038212840674801</v>
      </c>
      <c r="D29">
        <v>8.6235905002350801</v>
      </c>
      <c r="E29">
        <v>15.2884688424387</v>
      </c>
      <c r="F29">
        <v>20.375248496855001</v>
      </c>
      <c r="G29">
        <v>33.767356284234701</v>
      </c>
      <c r="H29">
        <v>64.486299561175898</v>
      </c>
      <c r="I29">
        <v>12.304115977049699</v>
      </c>
      <c r="J29">
        <v>-9.9668975647559804E-3</v>
      </c>
      <c r="K29">
        <v>0.31196263794484302</v>
      </c>
      <c r="L29">
        <v>0.30424855854084998</v>
      </c>
      <c r="M29">
        <v>0.58353387063402096</v>
      </c>
      <c r="N29">
        <v>1.0176348889276501</v>
      </c>
      <c r="O29">
        <v>5.55</v>
      </c>
      <c r="P29" s="22">
        <v>14.598221339631646</v>
      </c>
      <c r="Q29" s="22">
        <v>9.00436181818293E-3</v>
      </c>
      <c r="R29" s="22">
        <v>1.764558700365807</v>
      </c>
      <c r="S29" s="23">
        <v>1163.320536576603</v>
      </c>
    </row>
    <row r="30" spans="1:19" x14ac:dyDescent="0.3">
      <c r="A30" s="40" t="s">
        <v>130</v>
      </c>
      <c r="B30" t="s">
        <v>112</v>
      </c>
      <c r="C30">
        <v>14.0386240971183</v>
      </c>
      <c r="D30">
        <v>73.212036862434104</v>
      </c>
      <c r="E30">
        <v>16.851891794140599</v>
      </c>
      <c r="F30">
        <v>83.650008725495297</v>
      </c>
      <c r="G30">
        <v>35.313161704509</v>
      </c>
      <c r="H30">
        <v>67.630028570051607</v>
      </c>
      <c r="I30">
        <v>18.260077616232302</v>
      </c>
      <c r="J30">
        <v>0.195837400896722</v>
      </c>
      <c r="K30">
        <v>1.21915435464095</v>
      </c>
      <c r="L30">
        <v>0.33814594504381101</v>
      </c>
      <c r="M30">
        <v>1.40229246613398</v>
      </c>
      <c r="N30">
        <v>1.5331831114560901</v>
      </c>
      <c r="O30">
        <v>5.7</v>
      </c>
      <c r="P30" s="22" t="s">
        <v>135</v>
      </c>
      <c r="Q30" s="22" t="s">
        <v>135</v>
      </c>
      <c r="R30" s="22" t="s">
        <v>135</v>
      </c>
      <c r="S30" s="23">
        <v>821.53022852074309</v>
      </c>
    </row>
    <row r="31" spans="1:19" x14ac:dyDescent="0.3">
      <c r="A31" s="40"/>
      <c r="B31" t="s">
        <v>113</v>
      </c>
      <c r="C31">
        <v>11.748899024717099</v>
      </c>
      <c r="D31">
        <v>68.322739763134095</v>
      </c>
      <c r="E31">
        <v>17.621412270649898</v>
      </c>
      <c r="F31">
        <v>78.858397513899007</v>
      </c>
      <c r="G31">
        <v>36.596773382295702</v>
      </c>
      <c r="H31">
        <v>66.762712824293601</v>
      </c>
      <c r="I31">
        <v>18.8878009008404</v>
      </c>
      <c r="J31">
        <v>0.185912175512947</v>
      </c>
      <c r="K31">
        <v>1.3251274168712801</v>
      </c>
      <c r="L31">
        <v>0.41571087613400498</v>
      </c>
      <c r="M31">
        <v>1.6562212542278001</v>
      </c>
      <c r="N31">
        <v>1.5855226319416</v>
      </c>
      <c r="O31">
        <v>6.25</v>
      </c>
      <c r="P31" s="22">
        <v>1.4533015250144874</v>
      </c>
      <c r="Q31" s="22">
        <v>4.5566619369955756E-2</v>
      </c>
      <c r="R31" s="22">
        <v>1.2498392725659793</v>
      </c>
      <c r="S31" s="23">
        <v>829.45479445892568</v>
      </c>
    </row>
    <row r="32" spans="1:19" x14ac:dyDescent="0.3">
      <c r="A32" s="40"/>
      <c r="B32" t="s">
        <v>114</v>
      </c>
      <c r="C32">
        <v>13.2713196650681</v>
      </c>
      <c r="D32">
        <v>58.485741785820203</v>
      </c>
      <c r="E32">
        <v>17.611160305016</v>
      </c>
      <c r="F32">
        <v>71.826207494459695</v>
      </c>
      <c r="G32">
        <v>34.434919452684703</v>
      </c>
      <c r="H32">
        <v>47.654609252882501</v>
      </c>
      <c r="I32">
        <v>18.456704083192299</v>
      </c>
      <c r="J32">
        <v>0.185912175512947</v>
      </c>
      <c r="K32">
        <v>1.0234915885550999</v>
      </c>
      <c r="L32">
        <v>0.39886984751281501</v>
      </c>
      <c r="M32">
        <v>1.3713184900058599</v>
      </c>
      <c r="N32">
        <v>1.5489262102019099</v>
      </c>
      <c r="O32">
        <v>6</v>
      </c>
      <c r="P32" s="22">
        <v>1.7231130004507114</v>
      </c>
      <c r="Q32" s="22">
        <v>0.19965218606265733</v>
      </c>
      <c r="R32" s="22">
        <v>2.353107363051675</v>
      </c>
      <c r="S32" s="23">
        <v>841.31705334504261</v>
      </c>
    </row>
    <row r="33" spans="1:19" x14ac:dyDescent="0.3">
      <c r="A33" s="40"/>
      <c r="B33" t="s">
        <v>115</v>
      </c>
      <c r="C33">
        <v>7.3644605430077101</v>
      </c>
      <c r="D33">
        <v>8.8961802482961705</v>
      </c>
      <c r="E33">
        <v>17.1491128455751</v>
      </c>
      <c r="F33">
        <v>21.865866168916501</v>
      </c>
      <c r="G33">
        <v>1.755843</v>
      </c>
      <c r="H33">
        <v>-146.68341644449001</v>
      </c>
      <c r="I33">
        <v>1.2305536775956301</v>
      </c>
      <c r="J33">
        <v>2.49937181066761E-2</v>
      </c>
      <c r="K33">
        <v>0.141537162139484</v>
      </c>
      <c r="L33">
        <v>0.13554975091569499</v>
      </c>
      <c r="M33">
        <v>0.24054344001674499</v>
      </c>
      <c r="N33">
        <v>8.0515304528728598E-2</v>
      </c>
      <c r="O33">
        <v>5.62</v>
      </c>
      <c r="P33" s="22">
        <v>20.710326066231712</v>
      </c>
      <c r="Q33" s="22">
        <v>-5.1621551204636632E-3</v>
      </c>
      <c r="R33" s="22">
        <v>1.295724506720948</v>
      </c>
      <c r="S33" s="23">
        <v>700.47502940383117</v>
      </c>
    </row>
    <row r="34" spans="1:19" x14ac:dyDescent="0.3">
      <c r="A34" s="40"/>
      <c r="B34" t="s">
        <v>116</v>
      </c>
      <c r="C34">
        <v>5.07415375966319</v>
      </c>
      <c r="D34">
        <v>8.7707051978122301</v>
      </c>
      <c r="E34">
        <v>17.276261004764201</v>
      </c>
      <c r="F34">
        <v>21.240094776669199</v>
      </c>
      <c r="G34">
        <v>1.7725029999999999</v>
      </c>
      <c r="H34">
        <v>-136.19109752881201</v>
      </c>
      <c r="I34">
        <v>1.18348826229508</v>
      </c>
      <c r="J34">
        <v>3.0150869742680102E-2</v>
      </c>
      <c r="K34">
        <v>0.130924881420977</v>
      </c>
      <c r="L34">
        <v>0.163218152573365</v>
      </c>
      <c r="M34">
        <v>0.25981035056961999</v>
      </c>
      <c r="N34">
        <v>7.7371887806017794E-2</v>
      </c>
      <c r="O34">
        <v>5.27</v>
      </c>
      <c r="P34" s="22">
        <v>21.735190274056588</v>
      </c>
      <c r="Q34" s="22">
        <v>-1.5972722428570955E-2</v>
      </c>
      <c r="R34" s="22">
        <v>0.88210732927864932</v>
      </c>
      <c r="S34" s="23">
        <v>462.22042964027986</v>
      </c>
    </row>
    <row r="35" spans="1:19" x14ac:dyDescent="0.3">
      <c r="A35" s="40"/>
      <c r="B35" t="s">
        <v>117</v>
      </c>
      <c r="C35">
        <v>4.6331032896854998</v>
      </c>
      <c r="D35">
        <v>7.3058157697601303</v>
      </c>
      <c r="E35">
        <v>7.4144876841371401</v>
      </c>
      <c r="F35">
        <v>12.7007277108771</v>
      </c>
      <c r="G35">
        <v>1.0408310000000001</v>
      </c>
      <c r="H35">
        <v>-22.8251429205731</v>
      </c>
      <c r="I35">
        <v>0.312147301020408</v>
      </c>
      <c r="J35">
        <v>3.4761111596472898E-3</v>
      </c>
      <c r="K35">
        <v>7.5400708414975995E-2</v>
      </c>
      <c r="L35">
        <v>-0.26684819026038298</v>
      </c>
      <c r="M35">
        <v>-0.16319546321661799</v>
      </c>
      <c r="N35">
        <v>2.1976566260540599E-2</v>
      </c>
      <c r="O35">
        <v>5.55</v>
      </c>
      <c r="P35" s="22">
        <v>20.371130008535633</v>
      </c>
      <c r="Q35" s="22">
        <v>1.3299991739214622E-2</v>
      </c>
      <c r="R35" s="22">
        <v>1.3510574941752189</v>
      </c>
      <c r="S35" s="23">
        <v>428.83450224590587</v>
      </c>
    </row>
    <row r="36" spans="1:19" x14ac:dyDescent="0.3">
      <c r="A36" s="40"/>
      <c r="B36" t="s">
        <v>118</v>
      </c>
      <c r="C36">
        <v>5.0618547282891697</v>
      </c>
      <c r="D36">
        <v>12.004991803422801</v>
      </c>
      <c r="E36">
        <v>17.969882056194798</v>
      </c>
      <c r="F36">
        <v>22.4932093207386</v>
      </c>
      <c r="G36">
        <v>25.919842973856301</v>
      </c>
      <c r="H36">
        <v>129.68868239888999</v>
      </c>
      <c r="I36">
        <v>12.5187396934825</v>
      </c>
      <c r="J36">
        <v>1.9962773478018102E-3</v>
      </c>
      <c r="K36">
        <v>0.370532389753714</v>
      </c>
      <c r="L36">
        <v>0.21964951554248799</v>
      </c>
      <c r="M36">
        <v>0.55758284849815398</v>
      </c>
      <c r="N36">
        <v>0.95934785191055005</v>
      </c>
      <c r="O36">
        <v>5.35</v>
      </c>
      <c r="P36" s="22">
        <v>8.7917437053298517</v>
      </c>
      <c r="Q36" s="22">
        <v>-1.795542011920865E-2</v>
      </c>
      <c r="R36" s="22">
        <v>1.2905974945744711</v>
      </c>
      <c r="S36" s="23">
        <v>1104.5327520017065</v>
      </c>
    </row>
    <row r="37" spans="1:19" x14ac:dyDescent="0.3">
      <c r="A37" s="40"/>
      <c r="B37" t="s">
        <v>119</v>
      </c>
      <c r="C37">
        <v>4.9125239862529604</v>
      </c>
      <c r="D37">
        <v>18.923559754259301</v>
      </c>
      <c r="E37">
        <v>17.104794781846898</v>
      </c>
      <c r="F37">
        <v>27.238177393546401</v>
      </c>
      <c r="G37">
        <v>24.711911889801399</v>
      </c>
      <c r="H37">
        <v>133.27321575606399</v>
      </c>
      <c r="I37">
        <v>12.421216107412601</v>
      </c>
      <c r="J37">
        <v>1.58856449475911E-2</v>
      </c>
      <c r="K37">
        <v>0.49427704979502401</v>
      </c>
      <c r="L37">
        <v>0.24710533471991999</v>
      </c>
      <c r="M37">
        <v>0.70224552193269196</v>
      </c>
      <c r="N37">
        <v>0.94714770848426999</v>
      </c>
      <c r="O37">
        <v>5.08</v>
      </c>
      <c r="P37" s="22">
        <v>8.3652895881503682</v>
      </c>
      <c r="Q37" s="22">
        <v>-1.3741813545853396E-2</v>
      </c>
      <c r="R37" s="22">
        <v>2.2812880359209293</v>
      </c>
      <c r="S37" s="23">
        <v>1219.5820132693138</v>
      </c>
    </row>
    <row r="38" spans="1:19" x14ac:dyDescent="0.3">
      <c r="A38" s="40"/>
      <c r="B38" t="s">
        <v>120</v>
      </c>
      <c r="C38">
        <v>4.3390650281268801</v>
      </c>
      <c r="D38">
        <v>8.2709554422145501</v>
      </c>
      <c r="E38">
        <v>14.302884301250799</v>
      </c>
      <c r="F38">
        <v>17.4375034269822</v>
      </c>
      <c r="G38">
        <v>25.5999268854743</v>
      </c>
      <c r="H38">
        <v>121.82847039478899</v>
      </c>
      <c r="I38">
        <v>12.584251744220101</v>
      </c>
      <c r="J38">
        <v>-2.0893397540381602E-2</v>
      </c>
      <c r="K38">
        <v>0.222719774645943</v>
      </c>
      <c r="L38">
        <v>0.22163408183900599</v>
      </c>
      <c r="M38">
        <v>0.42942856675654401</v>
      </c>
      <c r="N38">
        <v>0.959117866809584</v>
      </c>
      <c r="O38">
        <v>4.97</v>
      </c>
      <c r="P38" s="22" t="s">
        <v>135</v>
      </c>
      <c r="Q38" s="22" t="s">
        <v>135</v>
      </c>
      <c r="R38" s="22" t="s">
        <v>135</v>
      </c>
      <c r="S38" s="23">
        <v>857.48709920863587</v>
      </c>
    </row>
    <row r="39" spans="1:19" x14ac:dyDescent="0.3">
      <c r="A39" s="40" t="s">
        <v>131</v>
      </c>
      <c r="B39" t="s">
        <v>121</v>
      </c>
      <c r="C39">
        <v>19.612522960944698</v>
      </c>
      <c r="D39">
        <v>90.584174139346501</v>
      </c>
      <c r="E39">
        <v>19.874844123059301</v>
      </c>
      <c r="F39">
        <v>109.102111918712</v>
      </c>
      <c r="G39">
        <v>41.861847440853502</v>
      </c>
      <c r="H39">
        <v>210.91301638430301</v>
      </c>
      <c r="I39">
        <v>28.046913668452099</v>
      </c>
      <c r="J39">
        <v>0.30593563371881899</v>
      </c>
      <c r="K39">
        <v>1.3865723286151099</v>
      </c>
      <c r="L39">
        <v>0.38698833293802898</v>
      </c>
      <c r="M39">
        <v>1.6965466303379799</v>
      </c>
      <c r="N39">
        <v>2.06141052515094</v>
      </c>
      <c r="O39">
        <v>5.99</v>
      </c>
      <c r="P39" s="22">
        <v>2.3800023932992707</v>
      </c>
      <c r="Q39" s="22">
        <v>4.2875818429437766E-2</v>
      </c>
      <c r="R39" s="22">
        <v>2.4582990773574998</v>
      </c>
      <c r="S39" s="23">
        <v>836.54396479386105</v>
      </c>
    </row>
    <row r="40" spans="1:19" x14ac:dyDescent="0.3">
      <c r="A40" s="40"/>
      <c r="B40" t="s">
        <v>122</v>
      </c>
      <c r="C40">
        <v>11.2971007553178</v>
      </c>
      <c r="D40">
        <v>73.147132962441404</v>
      </c>
      <c r="E40">
        <v>20.387580768854399</v>
      </c>
      <c r="F40">
        <v>86.354605938352094</v>
      </c>
      <c r="G40">
        <v>43.5098594738771</v>
      </c>
      <c r="H40">
        <v>223.542344984068</v>
      </c>
      <c r="I40">
        <v>29.026073310038299</v>
      </c>
      <c r="J40">
        <v>0.21194369556612599</v>
      </c>
      <c r="K40">
        <v>1.3154432203251001</v>
      </c>
      <c r="L40">
        <v>0.36756137578551401</v>
      </c>
      <c r="M40">
        <v>1.5928660861314801</v>
      </c>
      <c r="N40">
        <v>2.0626699508830901</v>
      </c>
      <c r="O40">
        <v>5.92</v>
      </c>
      <c r="P40" s="22">
        <v>1.4070804081396695</v>
      </c>
      <c r="Q40" s="22">
        <v>1.6142328104167752E-2</v>
      </c>
      <c r="R40" s="22">
        <v>2.0289662695252004</v>
      </c>
      <c r="S40" s="23">
        <v>946.24829802046247</v>
      </c>
    </row>
    <row r="41" spans="1:19" x14ac:dyDescent="0.3">
      <c r="A41" s="40"/>
      <c r="B41" t="s">
        <v>123</v>
      </c>
      <c r="C41">
        <v>13.0483304728813</v>
      </c>
      <c r="D41">
        <v>72.692818294698696</v>
      </c>
      <c r="E41">
        <v>16.182921441988199</v>
      </c>
      <c r="F41">
        <v>87.292377944348004</v>
      </c>
      <c r="G41">
        <v>43.1790155299161</v>
      </c>
      <c r="H41">
        <v>213.65985511781699</v>
      </c>
      <c r="I41">
        <v>25.2851172290287</v>
      </c>
      <c r="J41">
        <v>0.17657177983729899</v>
      </c>
      <c r="K41">
        <v>1.17233122070957</v>
      </c>
      <c r="L41">
        <v>0.38716028688809401</v>
      </c>
      <c r="M41">
        <v>1.45964875363886</v>
      </c>
      <c r="N41">
        <v>2.1242059780465201</v>
      </c>
      <c r="O41">
        <v>6.3</v>
      </c>
      <c r="P41" s="22">
        <v>1.9329274167916231</v>
      </c>
      <c r="Q41" s="22">
        <v>1.2459911730666252E-2</v>
      </c>
      <c r="R41" s="22">
        <v>1.670443159846378</v>
      </c>
      <c r="S41" s="23">
        <v>777.2426157891183</v>
      </c>
    </row>
    <row r="42" spans="1:19" x14ac:dyDescent="0.3">
      <c r="A42" s="40"/>
      <c r="B42" t="s">
        <v>124</v>
      </c>
      <c r="C42">
        <v>6.1831164163467003</v>
      </c>
      <c r="D42">
        <v>9.8653854713501605</v>
      </c>
      <c r="E42">
        <v>16.6715614016973</v>
      </c>
      <c r="F42">
        <v>20.944186729935499</v>
      </c>
      <c r="G42">
        <v>0.76839446</v>
      </c>
      <c r="H42">
        <v>-63.481226202029802</v>
      </c>
      <c r="I42">
        <v>0.44094865268156402</v>
      </c>
      <c r="J42">
        <v>1.6213019412016302E-2</v>
      </c>
      <c r="K42">
        <v>0.14642138256400999</v>
      </c>
      <c r="L42">
        <v>0.244209084727461</v>
      </c>
      <c r="M42">
        <v>0.35806301155871101</v>
      </c>
      <c r="N42">
        <v>2.8154160945297001E-2</v>
      </c>
      <c r="O42">
        <v>5.34</v>
      </c>
      <c r="P42" s="22">
        <v>23.339862989719062</v>
      </c>
      <c r="Q42" s="22">
        <v>1.4730129176075435E-2</v>
      </c>
      <c r="R42" s="22">
        <v>2.3954680420815513</v>
      </c>
      <c r="S42" s="23">
        <v>1016.9015548593987</v>
      </c>
    </row>
    <row r="43" spans="1:19" x14ac:dyDescent="0.3">
      <c r="A43" s="40"/>
      <c r="B43" t="s">
        <v>125</v>
      </c>
      <c r="C43">
        <v>8.3064998650065291</v>
      </c>
      <c r="D43">
        <v>22.928021692032399</v>
      </c>
      <c r="E43">
        <v>16.4214256960501</v>
      </c>
      <c r="F43">
        <v>33.609282470228202</v>
      </c>
      <c r="G43">
        <v>0.81012605999999998</v>
      </c>
      <c r="H43">
        <v>-58.940309637830403</v>
      </c>
      <c r="I43">
        <v>0.44918228592178699</v>
      </c>
      <c r="J43">
        <v>0.14014088598958099</v>
      </c>
      <c r="K43">
        <v>0.401648685021114</v>
      </c>
      <c r="L43">
        <v>0.24326843543409099</v>
      </c>
      <c r="M43">
        <v>0.59047978650255195</v>
      </c>
      <c r="N43">
        <v>2.8640222412924899E-2</v>
      </c>
      <c r="O43">
        <v>5.35</v>
      </c>
      <c r="P43" s="22">
        <v>23.924735050273352</v>
      </c>
      <c r="Q43" s="22">
        <v>1.4856848048758463E-2</v>
      </c>
      <c r="R43" s="22">
        <v>2.943312699223279</v>
      </c>
      <c r="S43" s="23">
        <v>844.75396903351862</v>
      </c>
    </row>
    <row r="44" spans="1:19" x14ac:dyDescent="0.3">
      <c r="A44" s="40"/>
      <c r="B44" t="s">
        <v>126</v>
      </c>
      <c r="C44">
        <v>6.3442226499078904</v>
      </c>
      <c r="D44">
        <v>7.8144804389516196</v>
      </c>
      <c r="E44">
        <v>17.6646223163035</v>
      </c>
      <c r="F44">
        <v>18.761729155491</v>
      </c>
      <c r="G44">
        <v>0.88062056</v>
      </c>
      <c r="H44">
        <v>-64.026307461890596</v>
      </c>
      <c r="I44">
        <v>0.46381301528089902</v>
      </c>
      <c r="J44">
        <v>1.0053762387749699E-2</v>
      </c>
      <c r="K44">
        <v>0.12747969870989301</v>
      </c>
      <c r="L44">
        <v>0.25817193754023998</v>
      </c>
      <c r="M44">
        <v>0.34442233491397001</v>
      </c>
      <c r="N44">
        <v>2.9654682474117101E-2</v>
      </c>
      <c r="O44">
        <v>5.24</v>
      </c>
      <c r="P44" s="22">
        <v>22.105390983239197</v>
      </c>
      <c r="Q44" s="22">
        <v>2.7062334124393944E-3</v>
      </c>
      <c r="R44" s="22">
        <v>1.9683427894256278</v>
      </c>
      <c r="S44" s="23">
        <v>1110.3152866421538</v>
      </c>
    </row>
    <row r="45" spans="1:19" x14ac:dyDescent="0.3">
      <c r="A45" s="40"/>
      <c r="B45" t="s">
        <v>127</v>
      </c>
      <c r="C45">
        <v>3.5040854501763299</v>
      </c>
      <c r="D45">
        <v>6.7003236935255801</v>
      </c>
      <c r="E45">
        <v>20.637999019816899</v>
      </c>
      <c r="F45">
        <v>21.722124339242502</v>
      </c>
      <c r="G45">
        <v>12.225012811549099</v>
      </c>
      <c r="H45">
        <v>-12.3794552203112</v>
      </c>
      <c r="I45">
        <v>5.7268776606640097</v>
      </c>
      <c r="J45">
        <v>-4.0949251825111999E-2</v>
      </c>
      <c r="K45">
        <v>0.22741795389955699</v>
      </c>
      <c r="L45">
        <v>0.45127936180804201</v>
      </c>
      <c r="M45">
        <v>0.64485859540893498</v>
      </c>
      <c r="N45">
        <v>0.53408092955861097</v>
      </c>
      <c r="O45">
        <v>5.54</v>
      </c>
      <c r="P45" s="22">
        <v>6.6852051322681936</v>
      </c>
      <c r="Q45" s="22">
        <v>1.3466644660260282E-2</v>
      </c>
      <c r="R45" s="22">
        <v>1.4186055341728014</v>
      </c>
      <c r="S45" s="23">
        <v>884.84792514717878</v>
      </c>
    </row>
    <row r="46" spans="1:19" x14ac:dyDescent="0.3">
      <c r="A46" s="40"/>
      <c r="B46" t="s">
        <v>128</v>
      </c>
      <c r="C46">
        <v>3.19400858689349</v>
      </c>
      <c r="D46">
        <v>5.7527524732421602</v>
      </c>
      <c r="E46">
        <v>20.229687798512298</v>
      </c>
      <c r="F46">
        <v>23.059979038985301</v>
      </c>
      <c r="G46">
        <v>11.067374793626399</v>
      </c>
      <c r="H46">
        <v>-11.5333889704608</v>
      </c>
      <c r="I46">
        <v>5.6915086841273501</v>
      </c>
      <c r="J46">
        <v>-6.5671982013676106E-2</v>
      </c>
      <c r="K46">
        <v>0.203838494736647</v>
      </c>
      <c r="L46">
        <v>0.49554021548310501</v>
      </c>
      <c r="M46">
        <v>0.66715613782468397</v>
      </c>
      <c r="N46">
        <v>0.53293959179478001</v>
      </c>
      <c r="O46">
        <v>5.44</v>
      </c>
      <c r="P46" s="22">
        <v>7.8796306207571476</v>
      </c>
      <c r="Q46" s="22">
        <v>1.3604620198546795E-2</v>
      </c>
      <c r="R46" s="22">
        <v>1.8256823188877647</v>
      </c>
      <c r="S46" s="23">
        <v>1044.7362142005168</v>
      </c>
    </row>
    <row r="47" spans="1:19" x14ac:dyDescent="0.3">
      <c r="A47" s="40"/>
      <c r="B47" t="s">
        <v>129</v>
      </c>
      <c r="C47">
        <v>3.6070482871520202</v>
      </c>
      <c r="D47">
        <v>7.9550983687867403</v>
      </c>
      <c r="E47">
        <v>21.434943012227698</v>
      </c>
      <c r="F47">
        <v>23.2567893045224</v>
      </c>
      <c r="G47">
        <v>12.096097356343</v>
      </c>
      <c r="H47">
        <v>-11.924363852345101</v>
      </c>
      <c r="I47">
        <v>5.7359067093215597</v>
      </c>
      <c r="J47">
        <v>-4.5760964341402699E-2</v>
      </c>
      <c r="K47">
        <v>0.27164664799080901</v>
      </c>
      <c r="L47">
        <v>0.47267269607752799</v>
      </c>
      <c r="M47">
        <v>0.70474564068985102</v>
      </c>
      <c r="N47">
        <v>0.53696194162641797</v>
      </c>
      <c r="O47">
        <v>5.19</v>
      </c>
      <c r="P47" s="22">
        <v>12.648516619660136</v>
      </c>
      <c r="Q47" s="22">
        <v>1.7361239216724802E-2</v>
      </c>
      <c r="R47" s="22">
        <v>1.4463477127670918</v>
      </c>
      <c r="S47" s="23">
        <v>1071.1455899303107</v>
      </c>
    </row>
    <row r="48" spans="1:19" x14ac:dyDescent="0.3">
      <c r="S48" s="23"/>
    </row>
    <row r="49" spans="19:19" x14ac:dyDescent="0.3">
      <c r="S49" s="23"/>
    </row>
    <row r="50" spans="19:19" x14ac:dyDescent="0.3">
      <c r="S50" s="23"/>
    </row>
    <row r="51" spans="19:19" x14ac:dyDescent="0.3">
      <c r="S51" s="23"/>
    </row>
    <row r="52" spans="19:19" x14ac:dyDescent="0.3">
      <c r="S52" s="23"/>
    </row>
    <row r="53" spans="19:19" x14ac:dyDescent="0.3">
      <c r="S53" s="23"/>
    </row>
    <row r="54" spans="19:19" x14ac:dyDescent="0.3">
      <c r="S54" s="23"/>
    </row>
    <row r="55" spans="19:19" x14ac:dyDescent="0.3">
      <c r="S55" s="23"/>
    </row>
    <row r="56" spans="19:19" x14ac:dyDescent="0.3">
      <c r="S56" s="23"/>
    </row>
    <row r="57" spans="19:19" x14ac:dyDescent="0.3">
      <c r="S57" s="23"/>
    </row>
    <row r="58" spans="19:19" x14ac:dyDescent="0.3">
      <c r="S58" s="23"/>
    </row>
    <row r="59" spans="19:19" x14ac:dyDescent="0.3">
      <c r="S59" s="23"/>
    </row>
    <row r="60" spans="19:19" x14ac:dyDescent="0.3">
      <c r="S60" s="23"/>
    </row>
    <row r="61" spans="19:19" x14ac:dyDescent="0.3">
      <c r="S61" s="23"/>
    </row>
    <row r="62" spans="19:19" x14ac:dyDescent="0.3">
      <c r="S62" s="23"/>
    </row>
    <row r="63" spans="19:19" x14ac:dyDescent="0.3">
      <c r="S63" s="23"/>
    </row>
    <row r="64" spans="19:19" x14ac:dyDescent="0.3">
      <c r="S64" s="23"/>
    </row>
    <row r="65" spans="19:19" x14ac:dyDescent="0.3">
      <c r="S65" s="23"/>
    </row>
    <row r="66" spans="19:19" x14ac:dyDescent="0.3">
      <c r="S66" s="23"/>
    </row>
    <row r="67" spans="19:19" x14ac:dyDescent="0.3">
      <c r="S67" s="23"/>
    </row>
    <row r="68" spans="19:19" x14ac:dyDescent="0.3">
      <c r="S68" s="23"/>
    </row>
    <row r="69" spans="19:19" x14ac:dyDescent="0.3">
      <c r="S69" s="23"/>
    </row>
    <row r="70" spans="19:19" x14ac:dyDescent="0.3">
      <c r="S70" s="23"/>
    </row>
    <row r="71" spans="19:19" x14ac:dyDescent="0.3">
      <c r="S71" s="23"/>
    </row>
    <row r="72" spans="19:19" x14ac:dyDescent="0.3">
      <c r="S72" s="23"/>
    </row>
    <row r="73" spans="19:19" x14ac:dyDescent="0.3">
      <c r="S73" s="23"/>
    </row>
    <row r="74" spans="19:19" x14ac:dyDescent="0.3">
      <c r="S74" s="23"/>
    </row>
    <row r="75" spans="19:19" x14ac:dyDescent="0.3">
      <c r="S75" s="23"/>
    </row>
    <row r="76" spans="19:19" x14ac:dyDescent="0.3">
      <c r="S76" s="23"/>
    </row>
    <row r="77" spans="19:19" x14ac:dyDescent="0.3">
      <c r="S77" s="23"/>
    </row>
    <row r="78" spans="19:19" x14ac:dyDescent="0.3">
      <c r="S78" s="23"/>
    </row>
    <row r="79" spans="19:19" x14ac:dyDescent="0.3">
      <c r="S79" s="23"/>
    </row>
    <row r="80" spans="19:19" x14ac:dyDescent="0.3">
      <c r="S80" s="23"/>
    </row>
    <row r="81" spans="19:19" x14ac:dyDescent="0.3">
      <c r="S81" s="23"/>
    </row>
    <row r="82" spans="19:19" x14ac:dyDescent="0.3">
      <c r="S82" s="23"/>
    </row>
    <row r="83" spans="19:19" x14ac:dyDescent="0.3">
      <c r="S83" s="23"/>
    </row>
    <row r="84" spans="19:19" x14ac:dyDescent="0.3">
      <c r="S84" s="23"/>
    </row>
    <row r="85" spans="19:19" x14ac:dyDescent="0.3">
      <c r="S85" s="23"/>
    </row>
    <row r="86" spans="19:19" x14ac:dyDescent="0.3">
      <c r="S86" s="23"/>
    </row>
    <row r="87" spans="19:19" x14ac:dyDescent="0.3">
      <c r="S87" s="23"/>
    </row>
    <row r="88" spans="19:19" x14ac:dyDescent="0.3">
      <c r="S88" s="23"/>
    </row>
    <row r="89" spans="19:19" x14ac:dyDescent="0.3">
      <c r="S89" s="23"/>
    </row>
    <row r="90" spans="19:19" x14ac:dyDescent="0.3">
      <c r="S90" s="23"/>
    </row>
    <row r="91" spans="19:19" x14ac:dyDescent="0.3">
      <c r="S91" s="23"/>
    </row>
    <row r="92" spans="19:19" x14ac:dyDescent="0.3">
      <c r="S92" s="23"/>
    </row>
    <row r="93" spans="19:19" x14ac:dyDescent="0.3">
      <c r="S93" s="23"/>
    </row>
    <row r="94" spans="19:19" x14ac:dyDescent="0.3">
      <c r="S94" s="23"/>
    </row>
    <row r="95" spans="19:19" x14ac:dyDescent="0.3">
      <c r="S95" s="23"/>
    </row>
    <row r="96" spans="19:19" x14ac:dyDescent="0.3">
      <c r="S96" s="23"/>
    </row>
    <row r="97" spans="19:19" x14ac:dyDescent="0.3">
      <c r="S97" s="23"/>
    </row>
    <row r="98" spans="19:19" x14ac:dyDescent="0.3">
      <c r="S98" s="23"/>
    </row>
    <row r="99" spans="19:19" x14ac:dyDescent="0.3">
      <c r="S99" s="23"/>
    </row>
    <row r="100" spans="19:19" x14ac:dyDescent="0.3">
      <c r="S100" s="23"/>
    </row>
    <row r="101" spans="19:19" x14ac:dyDescent="0.3">
      <c r="S101" s="23"/>
    </row>
    <row r="102" spans="19:19" x14ac:dyDescent="0.3">
      <c r="S102" s="23"/>
    </row>
    <row r="103" spans="19:19" x14ac:dyDescent="0.3">
      <c r="S103" s="23"/>
    </row>
    <row r="104" spans="19:19" x14ac:dyDescent="0.3">
      <c r="S104" s="23"/>
    </row>
  </sheetData>
  <mergeCells count="8">
    <mergeCell ref="A39:A47"/>
    <mergeCell ref="C1:G1"/>
    <mergeCell ref="H1:I1"/>
    <mergeCell ref="A3:A11"/>
    <mergeCell ref="J1:N1"/>
    <mergeCell ref="A21:A29"/>
    <mergeCell ref="A12:A20"/>
    <mergeCell ref="A30:A3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30AF-6F10-43A2-ACCB-BB246C1531B1}">
  <dimension ref="A1:Z36"/>
  <sheetViews>
    <sheetView topLeftCell="A52" workbookViewId="0">
      <selection activeCell="A17" sqref="A17"/>
    </sheetView>
  </sheetViews>
  <sheetFormatPr defaultRowHeight="14" x14ac:dyDescent="0.3"/>
  <cols>
    <col min="1" max="1" width="18.9140625" customWidth="1"/>
  </cols>
  <sheetData>
    <row r="1" spans="1:26" x14ac:dyDescent="0.3">
      <c r="B1" s="10" t="s">
        <v>43</v>
      </c>
      <c r="C1" s="28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9" t="s">
        <v>1</v>
      </c>
      <c r="N1" s="29"/>
      <c r="O1" s="29"/>
      <c r="P1" s="29"/>
      <c r="Q1" s="30" t="s">
        <v>2</v>
      </c>
      <c r="R1" s="30"/>
      <c r="S1" s="30"/>
      <c r="T1" s="30"/>
      <c r="U1" s="30"/>
      <c r="V1" s="30"/>
      <c r="W1" s="30"/>
      <c r="X1" s="30"/>
      <c r="Y1" s="30"/>
      <c r="Z1" s="30"/>
    </row>
    <row r="2" spans="1:26" x14ac:dyDescent="0.3">
      <c r="A2" s="20" t="s">
        <v>102</v>
      </c>
      <c r="B2" s="20" t="s">
        <v>72</v>
      </c>
      <c r="C2" s="1" t="s">
        <v>34</v>
      </c>
      <c r="D2" s="1" t="s">
        <v>42</v>
      </c>
      <c r="E2" s="1" t="s">
        <v>35</v>
      </c>
      <c r="F2" s="1" t="s">
        <v>42</v>
      </c>
      <c r="G2" s="1" t="s">
        <v>36</v>
      </c>
      <c r="H2" s="1" t="s">
        <v>42</v>
      </c>
      <c r="I2" s="1" t="s">
        <v>37</v>
      </c>
      <c r="J2" s="1" t="s">
        <v>42</v>
      </c>
      <c r="K2" s="1" t="s">
        <v>38</v>
      </c>
      <c r="L2" s="1" t="s">
        <v>42</v>
      </c>
      <c r="M2" s="1" t="s">
        <v>39</v>
      </c>
      <c r="N2" s="1" t="s">
        <v>42</v>
      </c>
      <c r="O2" s="1" t="s">
        <v>40</v>
      </c>
      <c r="P2" s="1" t="s">
        <v>42</v>
      </c>
      <c r="Q2" s="1" t="s">
        <v>41</v>
      </c>
      <c r="R2" s="1" t="s">
        <v>42</v>
      </c>
      <c r="S2" s="1" t="s">
        <v>35</v>
      </c>
      <c r="T2" s="1" t="s">
        <v>42</v>
      </c>
      <c r="U2" s="1" t="s">
        <v>36</v>
      </c>
      <c r="V2" s="1" t="s">
        <v>42</v>
      </c>
      <c r="W2" s="1" t="s">
        <v>37</v>
      </c>
      <c r="X2" s="1" t="s">
        <v>42</v>
      </c>
      <c r="Y2" s="1" t="s">
        <v>40</v>
      </c>
      <c r="Z2" s="1" t="s">
        <v>42</v>
      </c>
    </row>
    <row r="3" spans="1:26" x14ac:dyDescent="0.3">
      <c r="A3" s="20" t="s">
        <v>147</v>
      </c>
      <c r="B3" s="20" t="s">
        <v>103</v>
      </c>
      <c r="C3" s="20">
        <v>4.8720381948193294</v>
      </c>
      <c r="D3" s="20">
        <v>0.20810091430137068</v>
      </c>
      <c r="E3" s="20">
        <v>10.07598251678718</v>
      </c>
      <c r="F3" s="20">
        <v>2.4124280391255715</v>
      </c>
      <c r="G3" s="20">
        <v>11.010038185581131</v>
      </c>
      <c r="H3" s="20">
        <v>3.6676350084571694</v>
      </c>
      <c r="I3" s="20">
        <v>17.230727767264614</v>
      </c>
      <c r="J3" s="20">
        <v>4.9856677500113369</v>
      </c>
      <c r="K3" s="20">
        <v>16.325591123424466</v>
      </c>
      <c r="L3" s="20">
        <v>1.2676384318560976</v>
      </c>
      <c r="M3" s="20">
        <v>-8.7301577859488333</v>
      </c>
      <c r="N3" s="20">
        <v>2.1028967263458664</v>
      </c>
      <c r="O3" s="20">
        <v>11.460935522890621</v>
      </c>
      <c r="P3" s="20">
        <v>1.2562526044031657</v>
      </c>
      <c r="Q3" s="20">
        <v>4.1138144099717895E-2</v>
      </c>
      <c r="R3" s="20">
        <v>6.0974846252727253E-3</v>
      </c>
      <c r="S3" s="20">
        <v>0.1176897106868503</v>
      </c>
      <c r="T3" s="20">
        <v>2.5793846854775305E-2</v>
      </c>
      <c r="U3" s="20">
        <v>-6.531030701309043E-2</v>
      </c>
      <c r="V3" s="20">
        <v>4.0382282357737512E-2</v>
      </c>
      <c r="W3" s="20">
        <v>4.3019692657526067E-2</v>
      </c>
      <c r="X3" s="20">
        <v>5.347226312925115E-2</v>
      </c>
      <c r="Y3" s="20">
        <v>0.59350200292265998</v>
      </c>
      <c r="Z3" s="20">
        <v>7.9691383367711269E-2</v>
      </c>
    </row>
    <row r="4" spans="1:26" x14ac:dyDescent="0.3">
      <c r="A4" s="20" t="s">
        <v>148</v>
      </c>
      <c r="B4" s="20" t="s">
        <v>104</v>
      </c>
      <c r="C4" s="20">
        <v>16.5175345016752</v>
      </c>
      <c r="D4" s="20">
        <v>1.8605739289283163</v>
      </c>
      <c r="E4" s="20">
        <v>81.000043913358255</v>
      </c>
      <c r="F4" s="20">
        <v>12.663700882190891</v>
      </c>
      <c r="G4" s="20">
        <v>17.556498869474499</v>
      </c>
      <c r="H4" s="20">
        <v>1.7573592812198853</v>
      </c>
      <c r="I4" s="20">
        <v>89.784074909450439</v>
      </c>
      <c r="J4" s="20">
        <v>9.8318451058916239</v>
      </c>
      <c r="K4" s="20">
        <v>15.164423138844199</v>
      </c>
      <c r="L4" s="20">
        <v>1.7434218428451997</v>
      </c>
      <c r="M4" s="20">
        <v>3.9209806725600167</v>
      </c>
      <c r="N4" s="20">
        <v>1.860481088178584</v>
      </c>
      <c r="O4" s="20">
        <v>7.7888654756697937</v>
      </c>
      <c r="P4" s="20">
        <v>0.19267254660569669</v>
      </c>
      <c r="Q4" s="20">
        <v>0.21061647947287335</v>
      </c>
      <c r="R4" s="20">
        <v>3.1420954393757181E-2</v>
      </c>
      <c r="S4" s="20">
        <v>1.2501199040687416</v>
      </c>
      <c r="T4" s="20">
        <v>0.17892522716655992</v>
      </c>
      <c r="U4" s="20">
        <v>0.15662209007531699</v>
      </c>
      <c r="V4" s="20">
        <v>0.14605903240121085</v>
      </c>
      <c r="W4" s="20">
        <v>1.3211495012275734</v>
      </c>
      <c r="X4" s="20">
        <v>7.6629872615707278E-2</v>
      </c>
      <c r="Y4" s="20">
        <v>0.51481446534704867</v>
      </c>
      <c r="Z4" s="20">
        <v>1.1712443107957493E-3</v>
      </c>
    </row>
    <row r="5" spans="1:26" x14ac:dyDescent="0.3">
      <c r="A5" s="20" t="s">
        <v>149</v>
      </c>
      <c r="B5" s="20" t="s">
        <v>105</v>
      </c>
      <c r="C5" s="20">
        <v>10.844015334114006</v>
      </c>
      <c r="D5" s="20">
        <v>1.2696566440573738</v>
      </c>
      <c r="E5" s="20">
        <v>54.939917190431295</v>
      </c>
      <c r="F5" s="20">
        <v>2.5213616402897525</v>
      </c>
      <c r="G5" s="20">
        <v>12.885545587740665</v>
      </c>
      <c r="H5" s="20">
        <v>0.24211169688670081</v>
      </c>
      <c r="I5" s="20">
        <v>63.796772856528627</v>
      </c>
      <c r="J5" s="20">
        <v>2.7065764268656736</v>
      </c>
      <c r="K5" s="20">
        <v>31.223140981497465</v>
      </c>
      <c r="L5" s="20">
        <v>7.3394596865742949</v>
      </c>
      <c r="M5" s="20">
        <v>71.053236488076266</v>
      </c>
      <c r="N5" s="20">
        <v>6.7577399936299383</v>
      </c>
      <c r="O5" s="20">
        <v>21.149013076778999</v>
      </c>
      <c r="P5" s="20">
        <v>0.12727056259156702</v>
      </c>
      <c r="Q5" s="20">
        <v>0.14912616047688801</v>
      </c>
      <c r="R5" s="20">
        <v>2.0710482961646084E-2</v>
      </c>
      <c r="S5" s="20">
        <v>0.94958453966063805</v>
      </c>
      <c r="T5" s="20">
        <v>3.6611554847273166E-2</v>
      </c>
      <c r="U5" s="20">
        <v>0.26839164330919235</v>
      </c>
      <c r="V5" s="20">
        <v>1.6120511205685712E-2</v>
      </c>
      <c r="W5" s="20">
        <v>1.1591209354921501</v>
      </c>
      <c r="X5" s="20">
        <v>6.1040868078235951E-2</v>
      </c>
      <c r="Y5" s="20">
        <v>1.3300643539229167</v>
      </c>
      <c r="Z5" s="20">
        <v>6.4218857879494561E-3</v>
      </c>
    </row>
    <row r="6" spans="1:26" x14ac:dyDescent="0.3">
      <c r="A6" s="20" t="s">
        <v>145</v>
      </c>
      <c r="B6" s="20" t="s">
        <v>139</v>
      </c>
      <c r="C6" s="20">
        <v>13.019614262301166</v>
      </c>
      <c r="D6" s="20">
        <v>0.54938894017347817</v>
      </c>
      <c r="E6" s="20">
        <v>66.673506137129479</v>
      </c>
      <c r="F6" s="20">
        <v>3.5357199592392936</v>
      </c>
      <c r="G6" s="20">
        <v>17.361488123268831</v>
      </c>
      <c r="H6" s="20">
        <v>0.20805586306223298</v>
      </c>
      <c r="I6" s="20">
        <v>78.111537911284657</v>
      </c>
      <c r="J6" s="20">
        <v>2.8035262849677447</v>
      </c>
      <c r="K6" s="20">
        <v>35.44828484649647</v>
      </c>
      <c r="L6" s="20">
        <v>0.51253114829335078</v>
      </c>
      <c r="M6" s="20">
        <v>60.682450215742563</v>
      </c>
      <c r="N6" s="20">
        <v>5.3225211082696724</v>
      </c>
      <c r="O6" s="20">
        <v>18.534860866755</v>
      </c>
      <c r="P6" s="20">
        <v>0.15135718800421524</v>
      </c>
      <c r="Q6" s="20">
        <v>0.18922058397420535</v>
      </c>
      <c r="R6" s="20">
        <v>2.701304196929787E-3</v>
      </c>
      <c r="S6" s="20">
        <v>1.1892577866891099</v>
      </c>
      <c r="T6" s="20">
        <v>7.2136285849112455E-2</v>
      </c>
      <c r="U6" s="20">
        <v>0.38424222289687698</v>
      </c>
      <c r="V6" s="20">
        <v>1.923281446547501E-2</v>
      </c>
      <c r="W6" s="20">
        <v>1.4766107367892134</v>
      </c>
      <c r="X6" s="20">
        <v>7.3688232560058964E-2</v>
      </c>
      <c r="Y6" s="20">
        <v>1.5558773178665335</v>
      </c>
      <c r="Z6" s="20">
        <v>1.2658723601507811E-2</v>
      </c>
    </row>
    <row r="7" spans="1:26" ht="13.5" customHeight="1" x14ac:dyDescent="0.3">
      <c r="A7" s="20" t="s">
        <v>146</v>
      </c>
      <c r="B7" s="20" t="s">
        <v>140</v>
      </c>
      <c r="C7" s="20">
        <v>14.652651396381266</v>
      </c>
      <c r="D7" s="20">
        <v>2.0665024576506634</v>
      </c>
      <c r="E7" s="20">
        <v>78.808041798828867</v>
      </c>
      <c r="F7" s="20">
        <v>4.8087783186439514</v>
      </c>
      <c r="G7" s="20">
        <v>18.815115444633964</v>
      </c>
      <c r="H7" s="20">
        <v>1.0813632001278717</v>
      </c>
      <c r="I7" s="20">
        <v>94.249698600470694</v>
      </c>
      <c r="J7" s="20">
        <v>6.0674997617673609</v>
      </c>
      <c r="K7" s="20">
        <v>42.850240814882227</v>
      </c>
      <c r="L7" s="20">
        <v>0.41097594554692285</v>
      </c>
      <c r="M7" s="20">
        <v>216.03840549539598</v>
      </c>
      <c r="N7" s="20">
        <v>3.1311379416798264</v>
      </c>
      <c r="O7" s="20">
        <v>27.452701402506364</v>
      </c>
      <c r="P7" s="20">
        <v>0.9145131385680273</v>
      </c>
      <c r="Q7" s="20">
        <v>0.23148370304074797</v>
      </c>
      <c r="R7" s="20">
        <v>3.1517580955717862E-2</v>
      </c>
      <c r="S7" s="20">
        <v>1.2914489232165933</v>
      </c>
      <c r="T7" s="20">
        <v>5.1438437421071667E-2</v>
      </c>
      <c r="U7" s="20">
        <v>0.38056999853721235</v>
      </c>
      <c r="V7" s="20">
        <v>5.3109026531850956E-3</v>
      </c>
      <c r="W7" s="20">
        <v>1.5830204900361069</v>
      </c>
      <c r="X7" s="20">
        <v>5.5981847887393681E-2</v>
      </c>
      <c r="Y7" s="20">
        <v>2.0827621513601833</v>
      </c>
      <c r="Z7" s="20">
        <v>1.6921975299060327E-2</v>
      </c>
    </row>
    <row r="8" spans="1:26" x14ac:dyDescent="0.3">
      <c r="A8" s="20" t="s">
        <v>147</v>
      </c>
      <c r="B8" s="20" t="s">
        <v>106</v>
      </c>
      <c r="C8" s="20">
        <v>11.796988976993397</v>
      </c>
      <c r="D8" s="20">
        <v>3.1705774026266131</v>
      </c>
      <c r="E8" s="20">
        <v>57.781004518037093</v>
      </c>
      <c r="F8" s="20">
        <v>12.222503029973273</v>
      </c>
      <c r="G8" s="20">
        <v>13.805172418107299</v>
      </c>
      <c r="H8" s="20">
        <v>1.5087492956452064</v>
      </c>
      <c r="I8" s="20">
        <v>62.508159387056331</v>
      </c>
      <c r="J8" s="20">
        <v>11.578028286084628</v>
      </c>
      <c r="K8" s="20">
        <v>10.40843756745087</v>
      </c>
      <c r="L8" s="20">
        <v>3.0516860859480448</v>
      </c>
      <c r="M8" s="20">
        <v>27.775272318221869</v>
      </c>
      <c r="N8" s="20">
        <v>6.0427548774286555</v>
      </c>
      <c r="O8" s="20">
        <v>4.4573337931528236</v>
      </c>
      <c r="P8" s="20">
        <v>1.1842157798452539</v>
      </c>
      <c r="Q8" s="20">
        <v>0.18588090777803914</v>
      </c>
      <c r="R8" s="20">
        <v>7.9944221475195448E-2</v>
      </c>
      <c r="S8" s="20">
        <v>0.98978676001847743</v>
      </c>
      <c r="T8" s="20">
        <v>0.14286408594975869</v>
      </c>
      <c r="U8" s="20">
        <v>-8.4570728720898367E-2</v>
      </c>
      <c r="V8" s="20">
        <v>2.8668584908914583E-2</v>
      </c>
      <c r="W8" s="20">
        <v>0.852227317542258</v>
      </c>
      <c r="X8" s="20">
        <v>0.11691894186617574</v>
      </c>
      <c r="Y8" s="20">
        <v>0.34146235944128495</v>
      </c>
      <c r="Z8" s="20">
        <v>9.0905191683471651E-2</v>
      </c>
    </row>
    <row r="9" spans="1:26" x14ac:dyDescent="0.3">
      <c r="A9" s="20" t="s">
        <v>148</v>
      </c>
      <c r="B9" s="20" t="s">
        <v>107</v>
      </c>
      <c r="C9" s="20">
        <v>4.0708307244120565</v>
      </c>
      <c r="D9" s="20">
        <v>6.8185259787109695E-2</v>
      </c>
      <c r="E9" s="20">
        <v>8.4721517513122535</v>
      </c>
      <c r="F9" s="20">
        <v>0.41094974088760322</v>
      </c>
      <c r="G9" s="20">
        <v>13.4884945206433</v>
      </c>
      <c r="H9" s="20">
        <v>0.44497114431638529</v>
      </c>
      <c r="I9" s="20">
        <v>20.060587197328033</v>
      </c>
      <c r="J9" s="20">
        <v>0.38660836876248367</v>
      </c>
      <c r="K9" s="20">
        <v>15.324604172230167</v>
      </c>
      <c r="L9" s="20">
        <v>4.5095391828283393</v>
      </c>
      <c r="M9" s="20">
        <v>-78.938070028314144</v>
      </c>
      <c r="N9" s="20">
        <v>1.7778476636570399</v>
      </c>
      <c r="O9" s="20">
        <v>9.2178713964839201</v>
      </c>
      <c r="P9" s="20">
        <v>5.7928293271366622E-2</v>
      </c>
      <c r="Q9" s="20">
        <v>-3.3391191215093201E-2</v>
      </c>
      <c r="R9" s="20">
        <v>5.0298685802275577E-3</v>
      </c>
      <c r="S9" s="20">
        <v>0.29640233458269466</v>
      </c>
      <c r="T9" s="20">
        <v>2.2528340156809733E-2</v>
      </c>
      <c r="U9" s="20">
        <v>0.33827833265359669</v>
      </c>
      <c r="V9" s="20">
        <v>7.7519281413447397E-3</v>
      </c>
      <c r="W9" s="20">
        <v>0.60002151609430932</v>
      </c>
      <c r="X9" s="20">
        <v>2.3356814572985756E-2</v>
      </c>
      <c r="Y9" s="20">
        <v>0.7669178170104396</v>
      </c>
      <c r="Z9" s="20">
        <v>3.9057663261068526E-3</v>
      </c>
    </row>
    <row r="10" spans="1:26" x14ac:dyDescent="0.3">
      <c r="A10" s="20" t="s">
        <v>149</v>
      </c>
      <c r="B10" s="20" t="s">
        <v>108</v>
      </c>
      <c r="C10" s="20">
        <v>2.7175790141207803</v>
      </c>
      <c r="D10" s="20">
        <v>0.10986600874845612</v>
      </c>
      <c r="E10" s="20">
        <v>8.1014885444667808</v>
      </c>
      <c r="F10" s="20">
        <v>0.31468314653559443</v>
      </c>
      <c r="G10" s="20">
        <v>16.096124626363764</v>
      </c>
      <c r="H10" s="20">
        <v>0.32987143353766568</v>
      </c>
      <c r="I10" s="20">
        <v>20.384114335461302</v>
      </c>
      <c r="J10" s="20">
        <v>0.94438820112230859</v>
      </c>
      <c r="K10" s="20">
        <v>33.076510827789598</v>
      </c>
      <c r="L10" s="20">
        <v>0.47920124467204606</v>
      </c>
      <c r="M10" s="20">
        <v>73.26937096115357</v>
      </c>
      <c r="N10" s="20">
        <v>3.7754053308776383</v>
      </c>
      <c r="O10" s="20">
        <v>12.252313838837333</v>
      </c>
      <c r="P10" s="20">
        <v>2.1953224494159349E-2</v>
      </c>
      <c r="Q10" s="20">
        <v>-2.9552952523396694E-2</v>
      </c>
      <c r="R10" s="20">
        <v>8.1458025239469298E-3</v>
      </c>
      <c r="S10" s="20">
        <v>0.29360509679961633</v>
      </c>
      <c r="T10" s="20">
        <v>1.9471716713000575E-2</v>
      </c>
      <c r="U10" s="20">
        <v>0.29335451222498798</v>
      </c>
      <c r="V10" s="20">
        <v>9.3619539410559251E-3</v>
      </c>
      <c r="W10" s="20">
        <v>0.55644806335336894</v>
      </c>
      <c r="X10" s="20">
        <v>2.6185521129745624E-2</v>
      </c>
      <c r="Y10" s="20">
        <v>1.0135668833970335</v>
      </c>
      <c r="Z10" s="20">
        <v>1.7050857492583497E-3</v>
      </c>
    </row>
    <row r="11" spans="1:26" x14ac:dyDescent="0.3">
      <c r="A11" s="20" t="s">
        <v>145</v>
      </c>
      <c r="B11" s="20" t="s">
        <v>141</v>
      </c>
      <c r="C11" s="20">
        <v>4.7711479142230031</v>
      </c>
      <c r="D11" s="20">
        <v>0.17987442099181791</v>
      </c>
      <c r="E11" s="20">
        <v>13.066502333298885</v>
      </c>
      <c r="F11" s="20">
        <v>2.5479664270868132</v>
      </c>
      <c r="G11" s="20">
        <v>16.459187046430831</v>
      </c>
      <c r="H11" s="20">
        <v>0.90361313559790857</v>
      </c>
      <c r="I11" s="20">
        <v>22.389630047089067</v>
      </c>
      <c r="J11" s="20">
        <v>2.3104280050419548</v>
      </c>
      <c r="K11" s="20">
        <v>25.410560583044003</v>
      </c>
      <c r="L11" s="20">
        <v>0.29502130745219268</v>
      </c>
      <c r="M11" s="20">
        <v>128.26345618324765</v>
      </c>
      <c r="N11" s="20">
        <v>2.7595893986212281</v>
      </c>
      <c r="O11" s="20">
        <v>12.508069181705068</v>
      </c>
      <c r="P11" s="20">
        <v>3.8673992362082882E-2</v>
      </c>
      <c r="Q11" s="20">
        <v>-1.0038250816628974E-3</v>
      </c>
      <c r="R11" s="20">
        <v>8.7549979697121236E-3</v>
      </c>
      <c r="S11" s="20">
        <v>0.36250973806489367</v>
      </c>
      <c r="T11" s="20">
        <v>6.4090405984547419E-2</v>
      </c>
      <c r="U11" s="20">
        <v>0.22946297736713797</v>
      </c>
      <c r="V11" s="20">
        <v>7.2176358944026778E-3</v>
      </c>
      <c r="W11" s="20">
        <v>0.56308564572913</v>
      </c>
      <c r="X11" s="20">
        <v>6.4342803000663668E-2</v>
      </c>
      <c r="Y11" s="20">
        <v>0.95520447573480138</v>
      </c>
      <c r="Z11" s="20">
        <v>3.2896081220038812E-3</v>
      </c>
    </row>
    <row r="12" spans="1:26" x14ac:dyDescent="0.3">
      <c r="A12" s="20" t="s">
        <v>146</v>
      </c>
      <c r="B12" s="20" t="s">
        <v>142</v>
      </c>
      <c r="C12" s="20">
        <v>3.43504744140728</v>
      </c>
      <c r="D12" s="20">
        <v>0.10135211831202989</v>
      </c>
      <c r="E12" s="20">
        <v>6.8027248451848266</v>
      </c>
      <c r="F12" s="20">
        <v>0.52077855345015966</v>
      </c>
      <c r="G12" s="20">
        <v>20.767543276852297</v>
      </c>
      <c r="H12" s="20">
        <v>0.28896224991632807</v>
      </c>
      <c r="I12" s="20">
        <v>22.679630894250067</v>
      </c>
      <c r="J12" s="20">
        <v>0.39364328813365429</v>
      </c>
      <c r="K12" s="20">
        <v>11.7961616538395</v>
      </c>
      <c r="L12" s="20">
        <v>0.29907357488016245</v>
      </c>
      <c r="M12" s="20">
        <v>-11.945736014372367</v>
      </c>
      <c r="N12" s="20">
        <v>0.19961051061519774</v>
      </c>
      <c r="O12" s="20">
        <v>5.7180976847043068</v>
      </c>
      <c r="P12" s="20">
        <v>1.106156653237929E-2</v>
      </c>
      <c r="Q12" s="20">
        <v>-5.0794066060063599E-2</v>
      </c>
      <c r="R12" s="20">
        <v>6.1788605867447678E-3</v>
      </c>
      <c r="S12" s="20">
        <v>0.23430103220900433</v>
      </c>
      <c r="T12" s="20">
        <v>1.6227678598927986E-2</v>
      </c>
      <c r="U12" s="20">
        <v>0.47316409112289165</v>
      </c>
      <c r="V12" s="20">
        <v>1.0434311922469916E-2</v>
      </c>
      <c r="W12" s="20">
        <v>0.67225345797448999</v>
      </c>
      <c r="X12" s="20">
        <v>1.4268080558068037E-2</v>
      </c>
      <c r="Y12" s="20">
        <v>0.53466082099326961</v>
      </c>
      <c r="Z12" s="20">
        <v>9.7718758565502775E-4</v>
      </c>
    </row>
    <row r="13" spans="1:26" x14ac:dyDescent="0.3">
      <c r="A13" s="20" t="s">
        <v>147</v>
      </c>
      <c r="B13" s="20" t="s">
        <v>109</v>
      </c>
      <c r="C13" s="20">
        <v>7.0577210477551366</v>
      </c>
      <c r="D13" s="20">
        <v>0.45421313338214003</v>
      </c>
      <c r="E13" s="20">
        <v>13.245802291853659</v>
      </c>
      <c r="F13" s="20">
        <v>2.022888005429845</v>
      </c>
      <c r="G13" s="20">
        <v>11.295449538352941</v>
      </c>
      <c r="H13" s="20">
        <v>1.7858081818814286</v>
      </c>
      <c r="I13" s="20">
        <v>17.699938558800834</v>
      </c>
      <c r="J13" s="20">
        <v>0.69611991643396076</v>
      </c>
      <c r="K13" s="20">
        <v>18.830889825316735</v>
      </c>
      <c r="L13" s="20">
        <v>1.8344511583090306</v>
      </c>
      <c r="M13" s="20">
        <v>-12.462171932462832</v>
      </c>
      <c r="N13" s="20">
        <v>2.9780567552079154</v>
      </c>
      <c r="O13" s="20">
        <v>10.191596743593285</v>
      </c>
      <c r="P13" s="20">
        <v>0.80230859376926023</v>
      </c>
      <c r="Q13" s="20">
        <v>5.8814643431081302E-2</v>
      </c>
      <c r="R13" s="20">
        <v>3.0053607164915205E-3</v>
      </c>
      <c r="S13" s="20">
        <v>0.17933840124774636</v>
      </c>
      <c r="T13" s="20">
        <v>4.412762017052028E-3</v>
      </c>
      <c r="U13" s="20">
        <v>-1.5520871275691571E-2</v>
      </c>
      <c r="V13" s="20">
        <v>2.28105515487881E-2</v>
      </c>
      <c r="W13" s="20">
        <v>0.13830983111847114</v>
      </c>
      <c r="X13" s="20">
        <v>1.7576767862255847E-2</v>
      </c>
      <c r="Y13" s="20">
        <v>0.40333307404457197</v>
      </c>
      <c r="Z13" s="20">
        <v>1.2686880762882874E-2</v>
      </c>
    </row>
    <row r="14" spans="1:26" x14ac:dyDescent="0.3">
      <c r="A14" s="20" t="s">
        <v>148</v>
      </c>
      <c r="B14" s="20" t="s">
        <v>110</v>
      </c>
      <c r="C14" s="20">
        <v>3.8279617906501233</v>
      </c>
      <c r="D14" s="20">
        <v>0.31630553969472353</v>
      </c>
      <c r="E14" s="20">
        <v>7.2829988505196397</v>
      </c>
      <c r="F14" s="20">
        <v>0.32398457902801653</v>
      </c>
      <c r="G14" s="20">
        <v>12.903365332972468</v>
      </c>
      <c r="H14" s="20">
        <v>0.33140735126287846</v>
      </c>
      <c r="I14" s="20">
        <v>18.657644444640166</v>
      </c>
      <c r="J14" s="20">
        <v>0.98238888011581804</v>
      </c>
      <c r="K14" s="20">
        <v>21.576922033190499</v>
      </c>
      <c r="L14" s="20">
        <v>1.8518672865235133</v>
      </c>
      <c r="M14" s="20">
        <v>-15.848525070413432</v>
      </c>
      <c r="N14" s="20">
        <v>1.2325344921072632</v>
      </c>
      <c r="O14" s="20">
        <v>14.741007766373334</v>
      </c>
      <c r="P14" s="20">
        <v>2.2706527589150038E-2</v>
      </c>
      <c r="Q14" s="20">
        <v>-1.1398413294096701E-2</v>
      </c>
      <c r="R14" s="20">
        <v>3.4958093978697774E-3</v>
      </c>
      <c r="S14" s="20">
        <v>0.11883850445664633</v>
      </c>
      <c r="T14" s="20">
        <v>7.6260232355585709E-3</v>
      </c>
      <c r="U14" s="20">
        <v>0.20265210742574569</v>
      </c>
      <c r="V14" s="20">
        <v>1.0479904480545837E-2</v>
      </c>
      <c r="W14" s="20">
        <v>0.28636121914745233</v>
      </c>
      <c r="X14" s="20">
        <v>1.9549325202217072E-2</v>
      </c>
      <c r="Y14" s="20">
        <v>0.740013106825121</v>
      </c>
      <c r="Z14" s="20">
        <v>1.0721522635724332E-3</v>
      </c>
    </row>
    <row r="15" spans="1:26" x14ac:dyDescent="0.3">
      <c r="A15" s="20" t="s">
        <v>149</v>
      </c>
      <c r="B15" s="20" t="s">
        <v>111</v>
      </c>
      <c r="C15" s="20">
        <v>2.9760359563101999</v>
      </c>
      <c r="D15" s="20">
        <v>2.6410889630911646E-2</v>
      </c>
      <c r="E15" s="20">
        <v>7.3608844057320679</v>
      </c>
      <c r="F15" s="20">
        <v>0.61958559250785883</v>
      </c>
      <c r="G15" s="20">
        <v>16.057252485086398</v>
      </c>
      <c r="H15" s="20">
        <v>1.4553184498879177</v>
      </c>
      <c r="I15" s="20">
        <v>19.094210197479637</v>
      </c>
      <c r="J15" s="20">
        <v>1.1712013963533825</v>
      </c>
      <c r="K15" s="20">
        <v>3.7929110000000001</v>
      </c>
      <c r="L15" s="20">
        <v>7.7083974611412378</v>
      </c>
      <c r="M15" s="20">
        <v>-54.186346071793501</v>
      </c>
      <c r="N15" s="20">
        <v>1.0285406131937296</v>
      </c>
      <c r="O15" s="20">
        <v>2.5644175941724066</v>
      </c>
      <c r="P15" s="20">
        <v>7.8918090987468256E-2</v>
      </c>
      <c r="Q15" s="20">
        <v>-8.0800158100289721E-3</v>
      </c>
      <c r="R15" s="20">
        <v>1.7988457453426616E-3</v>
      </c>
      <c r="S15" s="20">
        <v>0.1245052165144015</v>
      </c>
      <c r="T15" s="20">
        <v>1.1378685170033112E-2</v>
      </c>
      <c r="U15" s="20">
        <v>0.12108659845036933</v>
      </c>
      <c r="V15" s="20">
        <v>4.2638298094335595E-3</v>
      </c>
      <c r="W15" s="20">
        <v>0.21783645768768167</v>
      </c>
      <c r="X15" s="20">
        <v>1.0323885130212257E-2</v>
      </c>
      <c r="Y15" s="20">
        <v>0.12395120314594767</v>
      </c>
      <c r="Z15" s="20">
        <v>2.0808742826650406E-3</v>
      </c>
    </row>
    <row r="16" spans="1:26" x14ac:dyDescent="0.3">
      <c r="A16" s="20" t="s">
        <v>145</v>
      </c>
      <c r="B16" s="20" t="s">
        <v>143</v>
      </c>
      <c r="C16" s="20">
        <v>5.6905725307854667</v>
      </c>
      <c r="D16" s="20">
        <v>0.69122390444822102</v>
      </c>
      <c r="E16" s="20">
        <v>8.3242337386228442</v>
      </c>
      <c r="F16" s="20">
        <v>0.41681793695418096</v>
      </c>
      <c r="G16" s="20">
        <v>13.946620511492148</v>
      </c>
      <c r="H16" s="20">
        <v>2.6669004530541942</v>
      </c>
      <c r="I16" s="20">
        <v>18.602229552154267</v>
      </c>
      <c r="J16" s="20">
        <v>2.4137886516054765</v>
      </c>
      <c r="K16" s="20">
        <v>1.5230589999999999</v>
      </c>
      <c r="L16" s="20">
        <v>0.19690791524522899</v>
      </c>
      <c r="M16" s="20">
        <v>-101.8998856312917</v>
      </c>
      <c r="N16" s="20">
        <v>32.376717938570323</v>
      </c>
      <c r="O16" s="20">
        <v>0.90872974697037279</v>
      </c>
      <c r="P16" s="20">
        <v>0.24380627530028148</v>
      </c>
      <c r="Q16" s="20">
        <v>1.9540233003001166E-2</v>
      </c>
      <c r="R16" s="20">
        <v>6.6698502598179967E-3</v>
      </c>
      <c r="S16" s="20">
        <v>0.11595425065847899</v>
      </c>
      <c r="T16" s="20">
        <v>1.6743804604713981E-2</v>
      </c>
      <c r="U16" s="20">
        <v>1.0639904409559012E-2</v>
      </c>
      <c r="V16" s="20">
        <v>0.11347159911452984</v>
      </c>
      <c r="W16" s="20">
        <v>0.11238610912324899</v>
      </c>
      <c r="X16" s="20">
        <v>0.1125973215791054</v>
      </c>
      <c r="Y16" s="20">
        <v>5.9954586198429E-2</v>
      </c>
      <c r="Z16" s="20">
        <v>1.5522154532403331E-2</v>
      </c>
    </row>
    <row r="17" spans="1:26" x14ac:dyDescent="0.3">
      <c r="A17" s="20" t="s">
        <v>146</v>
      </c>
      <c r="B17" s="20" t="s">
        <v>144</v>
      </c>
      <c r="C17" s="20">
        <v>6.94461297708704</v>
      </c>
      <c r="D17" s="20">
        <v>0.55728323663173351</v>
      </c>
      <c r="E17" s="20">
        <v>13.535962534111393</v>
      </c>
      <c r="F17" s="20">
        <v>3.8646441343255296</v>
      </c>
      <c r="G17" s="20">
        <v>16.919203138016965</v>
      </c>
      <c r="H17" s="20">
        <v>0.30997465176936778</v>
      </c>
      <c r="I17" s="20">
        <v>24.438399451884901</v>
      </c>
      <c r="J17" s="20">
        <v>3.7791710369152405</v>
      </c>
      <c r="K17" s="20">
        <v>0.81971369333333344</v>
      </c>
      <c r="L17" s="20">
        <v>2.6739967651452774E-2</v>
      </c>
      <c r="M17" s="20">
        <v>-62.149281100583607</v>
      </c>
      <c r="N17" s="20">
        <v>1.3163418824349846</v>
      </c>
      <c r="O17" s="20">
        <v>0.45131465129474996</v>
      </c>
      <c r="P17" s="20">
        <v>5.4590395132258704E-3</v>
      </c>
      <c r="Q17" s="20">
        <v>5.5469222596448993E-2</v>
      </c>
      <c r="R17" s="20">
        <v>3.4597533785236556E-2</v>
      </c>
      <c r="S17" s="20">
        <v>0.22518325543167231</v>
      </c>
      <c r="T17" s="20">
        <v>7.2179918301340726E-2</v>
      </c>
      <c r="U17" s="20">
        <v>0.24854981923393069</v>
      </c>
      <c r="V17" s="20">
        <v>3.9344652551730908E-3</v>
      </c>
      <c r="W17" s="20">
        <v>0.43098837765841097</v>
      </c>
      <c r="X17" s="20">
        <v>6.5191426048638965E-2</v>
      </c>
      <c r="Y17" s="20">
        <v>2.8816355277446332E-2</v>
      </c>
      <c r="Z17" s="20">
        <v>3.6091190186542978E-4</v>
      </c>
    </row>
    <row r="18" spans="1:26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20" spans="1:26" s="5" customFormat="1" x14ac:dyDescent="0.3">
      <c r="A20" s="10" t="s">
        <v>63</v>
      </c>
    </row>
    <row r="21" spans="1:26" x14ac:dyDescent="0.3">
      <c r="A21" s="3" t="s">
        <v>3</v>
      </c>
      <c r="B21" s="1" t="s">
        <v>47</v>
      </c>
      <c r="C21" s="1" t="s">
        <v>42</v>
      </c>
      <c r="D21" s="8" t="s">
        <v>51</v>
      </c>
      <c r="E21" s="1" t="s">
        <v>42</v>
      </c>
      <c r="F21" s="8" t="s">
        <v>52</v>
      </c>
      <c r="G21" s="1" t="s">
        <v>42</v>
      </c>
      <c r="H21" s="8" t="s">
        <v>53</v>
      </c>
      <c r="I21" s="1" t="s">
        <v>42</v>
      </c>
      <c r="J21" s="8" t="s">
        <v>138</v>
      </c>
      <c r="K21" s="1" t="s">
        <v>42</v>
      </c>
      <c r="L21" s="8"/>
      <c r="M21" s="1"/>
      <c r="N21" s="8"/>
      <c r="O21" s="1"/>
      <c r="P21" s="8"/>
      <c r="Q21" s="1"/>
    </row>
    <row r="22" spans="1:26" x14ac:dyDescent="0.3">
      <c r="A22" s="20" t="s">
        <v>103</v>
      </c>
      <c r="B22" s="25">
        <v>5.55</v>
      </c>
      <c r="C22" s="25">
        <v>0.09</v>
      </c>
      <c r="D22" s="25">
        <v>1.1399999999999999</v>
      </c>
      <c r="E22" s="25">
        <v>0.05</v>
      </c>
      <c r="F22" s="25">
        <v>0.2</v>
      </c>
      <c r="G22" s="25">
        <v>0.01</v>
      </c>
      <c r="H22" s="25">
        <v>2.11</v>
      </c>
      <c r="I22" s="25">
        <v>0.44</v>
      </c>
      <c r="J22" s="25">
        <v>335.6</v>
      </c>
      <c r="K22" s="25">
        <v>45.8</v>
      </c>
    </row>
    <row r="23" spans="1:26" x14ac:dyDescent="0.3">
      <c r="A23" s="20" t="s">
        <v>104</v>
      </c>
      <c r="B23" s="25">
        <v>6.21</v>
      </c>
      <c r="C23" s="25">
        <v>0.33</v>
      </c>
      <c r="D23" s="25">
        <v>1.38</v>
      </c>
      <c r="E23" s="25">
        <v>0.16</v>
      </c>
      <c r="F23" s="25">
        <v>0.06</v>
      </c>
      <c r="G23" s="25">
        <v>0.03</v>
      </c>
      <c r="H23" s="25">
        <v>6.23</v>
      </c>
      <c r="I23" s="25">
        <v>3.06</v>
      </c>
      <c r="J23" s="25">
        <v>589.17999999999995</v>
      </c>
      <c r="K23" s="25">
        <v>60.63</v>
      </c>
    </row>
    <row r="24" spans="1:26" x14ac:dyDescent="0.3">
      <c r="A24" s="20" t="s">
        <v>105</v>
      </c>
      <c r="B24" s="25">
        <v>6.2</v>
      </c>
      <c r="C24" s="25">
        <v>0.24</v>
      </c>
      <c r="D24" s="25">
        <v>1.17</v>
      </c>
      <c r="E24" s="25">
        <v>7.0000000000000007E-2</v>
      </c>
      <c r="F24" s="25">
        <v>0.03</v>
      </c>
      <c r="G24" s="25">
        <v>0.01</v>
      </c>
      <c r="H24" s="25">
        <v>1.95</v>
      </c>
      <c r="I24" s="25">
        <v>0.05</v>
      </c>
      <c r="J24" s="25">
        <v>587.13</v>
      </c>
      <c r="K24" s="25">
        <v>36.36</v>
      </c>
    </row>
    <row r="25" spans="1:26" x14ac:dyDescent="0.3">
      <c r="A25" s="20" t="s">
        <v>139</v>
      </c>
      <c r="B25" s="25">
        <v>5.98</v>
      </c>
      <c r="C25" s="25">
        <v>0.23</v>
      </c>
      <c r="D25" s="25">
        <v>1.59</v>
      </c>
      <c r="E25" s="25">
        <v>0.08</v>
      </c>
      <c r="F25" s="25">
        <v>0.12</v>
      </c>
      <c r="G25" s="25">
        <v>0.04</v>
      </c>
      <c r="H25" s="25">
        <v>1.8</v>
      </c>
      <c r="I25" s="25">
        <v>0.32</v>
      </c>
      <c r="J25" s="25">
        <v>830.77</v>
      </c>
      <c r="K25" s="25">
        <v>4.6900000000000004</v>
      </c>
    </row>
    <row r="26" spans="1:26" x14ac:dyDescent="0.3">
      <c r="A26" s="20" t="s">
        <v>140</v>
      </c>
      <c r="B26" s="25">
        <v>6.07</v>
      </c>
      <c r="C26" s="25">
        <v>0.17</v>
      </c>
      <c r="D26" s="25">
        <v>1.91</v>
      </c>
      <c r="E26" s="25">
        <v>0.23</v>
      </c>
      <c r="F26" s="25">
        <v>0.02</v>
      </c>
      <c r="G26" s="25">
        <v>0.01</v>
      </c>
      <c r="H26" s="25">
        <v>2.0499999999999998</v>
      </c>
      <c r="I26" s="25">
        <v>0.19</v>
      </c>
      <c r="J26" s="25">
        <v>853.34</v>
      </c>
      <c r="K26" s="25">
        <v>40.42</v>
      </c>
    </row>
    <row r="27" spans="1:26" x14ac:dyDescent="0.3">
      <c r="A27" s="20" t="s">
        <v>106</v>
      </c>
      <c r="B27" s="25">
        <v>5.09</v>
      </c>
      <c r="C27" s="25">
        <v>0.05</v>
      </c>
      <c r="D27" s="25">
        <v>9.5500000000000007</v>
      </c>
      <c r="E27" s="25">
        <v>0.54</v>
      </c>
      <c r="F27" s="25">
        <v>0</v>
      </c>
      <c r="G27" s="25">
        <v>0</v>
      </c>
      <c r="H27" s="25">
        <v>2.0699999999999998</v>
      </c>
      <c r="I27" s="25">
        <v>0.3</v>
      </c>
      <c r="J27" s="25">
        <v>1046.07</v>
      </c>
      <c r="K27" s="25">
        <v>32.700000000000003</v>
      </c>
    </row>
    <row r="28" spans="1:26" x14ac:dyDescent="0.3">
      <c r="A28" s="20" t="s">
        <v>107</v>
      </c>
      <c r="B28" s="25">
        <v>5.25</v>
      </c>
      <c r="C28" s="25">
        <v>0.14000000000000001</v>
      </c>
      <c r="D28" s="25">
        <v>9.0299999999999994</v>
      </c>
      <c r="E28" s="25">
        <v>0.47</v>
      </c>
      <c r="F28" s="25">
        <v>0</v>
      </c>
      <c r="G28" s="25">
        <v>0</v>
      </c>
      <c r="H28" s="25">
        <v>2.17</v>
      </c>
      <c r="I28" s="25">
        <v>0.18</v>
      </c>
      <c r="J28" s="25">
        <v>1094.8599999999999</v>
      </c>
      <c r="K28" s="25">
        <v>38.86</v>
      </c>
    </row>
    <row r="29" spans="1:26" x14ac:dyDescent="0.3">
      <c r="A29" s="20" t="s">
        <v>108</v>
      </c>
      <c r="B29" s="25">
        <v>5.42</v>
      </c>
      <c r="C29" s="25">
        <v>0.11</v>
      </c>
      <c r="D29" s="25">
        <v>12.46</v>
      </c>
      <c r="E29" s="25">
        <v>1.81</v>
      </c>
      <c r="F29" s="25">
        <v>0.01</v>
      </c>
      <c r="G29" s="25">
        <v>0</v>
      </c>
      <c r="H29" s="25">
        <v>1.65</v>
      </c>
      <c r="I29" s="25">
        <v>0.56000000000000005</v>
      </c>
      <c r="J29" s="25">
        <v>1077.8599999999999</v>
      </c>
      <c r="K29" s="25">
        <v>92.96</v>
      </c>
    </row>
    <row r="30" spans="1:26" x14ac:dyDescent="0.3">
      <c r="A30" s="20" t="s">
        <v>141</v>
      </c>
      <c r="B30" s="25">
        <v>5.13</v>
      </c>
      <c r="C30" s="25">
        <v>0.16</v>
      </c>
      <c r="D30" s="25">
        <v>8.58</v>
      </c>
      <c r="E30" s="25">
        <v>0.12</v>
      </c>
      <c r="F30" s="25">
        <v>0</v>
      </c>
      <c r="G30" s="25">
        <v>0</v>
      </c>
      <c r="H30" s="25">
        <v>1.79</v>
      </c>
      <c r="I30" s="25">
        <v>0.28999999999999998</v>
      </c>
      <c r="J30" s="25">
        <v>1060.53</v>
      </c>
      <c r="K30" s="25">
        <v>87.22</v>
      </c>
    </row>
    <row r="31" spans="1:26" x14ac:dyDescent="0.3">
      <c r="A31" s="20" t="s">
        <v>142</v>
      </c>
      <c r="B31" s="25">
        <v>5.31</v>
      </c>
      <c r="C31" s="25">
        <v>0.05</v>
      </c>
      <c r="D31" s="25">
        <v>9.07</v>
      </c>
      <c r="E31" s="25">
        <v>1.49</v>
      </c>
      <c r="F31" s="25">
        <v>0.01</v>
      </c>
      <c r="G31" s="25">
        <v>0</v>
      </c>
      <c r="H31" s="25">
        <v>1.56</v>
      </c>
      <c r="I31" s="25">
        <v>0.11</v>
      </c>
      <c r="J31" s="25">
        <v>1000.24</v>
      </c>
      <c r="K31" s="25">
        <v>47.52</v>
      </c>
    </row>
    <row r="32" spans="1:26" x14ac:dyDescent="0.3">
      <c r="A32" s="20" t="s">
        <v>109</v>
      </c>
      <c r="B32" s="25">
        <v>5.62</v>
      </c>
      <c r="C32" s="25">
        <v>0.18</v>
      </c>
      <c r="D32" s="25">
        <v>20.23</v>
      </c>
      <c r="E32" s="25">
        <v>1.21</v>
      </c>
      <c r="F32" s="25">
        <v>0</v>
      </c>
      <c r="G32" s="25">
        <v>0</v>
      </c>
      <c r="H32" s="25">
        <v>0.88</v>
      </c>
      <c r="I32" s="25">
        <v>0.25</v>
      </c>
      <c r="J32" s="25">
        <v>399.95</v>
      </c>
      <c r="K32" s="25">
        <v>10.8</v>
      </c>
    </row>
    <row r="33" spans="1:11" x14ac:dyDescent="0.3">
      <c r="A33" s="20" t="s">
        <v>110</v>
      </c>
      <c r="B33" s="25">
        <v>5.67</v>
      </c>
      <c r="C33" s="25">
        <v>0.37</v>
      </c>
      <c r="D33" s="25">
        <v>19.68</v>
      </c>
      <c r="E33" s="25">
        <v>0.68</v>
      </c>
      <c r="F33" s="25">
        <v>7.0000000000000007E-2</v>
      </c>
      <c r="G33" s="25">
        <v>0.03</v>
      </c>
      <c r="H33" s="25">
        <v>1.26</v>
      </c>
      <c r="I33" s="25">
        <v>0.35</v>
      </c>
      <c r="J33" s="25">
        <v>437.2</v>
      </c>
      <c r="K33" s="25">
        <v>9.24</v>
      </c>
    </row>
    <row r="34" spans="1:11" x14ac:dyDescent="0.3">
      <c r="A34" s="20" t="s">
        <v>111</v>
      </c>
      <c r="B34" s="25">
        <v>5.59</v>
      </c>
      <c r="C34" s="25">
        <v>0.35</v>
      </c>
      <c r="D34" s="25">
        <v>21.1</v>
      </c>
      <c r="E34" s="25">
        <v>0.57999999999999996</v>
      </c>
      <c r="F34" s="25">
        <v>0.01</v>
      </c>
      <c r="G34" s="25">
        <v>0</v>
      </c>
      <c r="H34" s="25">
        <v>2.3199999999999998</v>
      </c>
      <c r="I34" s="25">
        <v>0.4</v>
      </c>
      <c r="J34" s="25">
        <v>446.27</v>
      </c>
      <c r="K34" s="25">
        <v>26.22</v>
      </c>
    </row>
    <row r="35" spans="1:11" x14ac:dyDescent="0.3">
      <c r="A35" s="20" t="s">
        <v>143</v>
      </c>
      <c r="B35" s="25">
        <v>5.48</v>
      </c>
      <c r="C35" s="25">
        <v>0.15</v>
      </c>
      <c r="D35" s="25">
        <v>20.94</v>
      </c>
      <c r="E35" s="25">
        <v>0.33</v>
      </c>
      <c r="F35" s="25">
        <v>0</v>
      </c>
      <c r="G35" s="25">
        <v>0</v>
      </c>
      <c r="H35" s="25">
        <v>1.18</v>
      </c>
      <c r="I35" s="25">
        <v>0.12</v>
      </c>
      <c r="J35" s="25">
        <v>530.51</v>
      </c>
      <c r="K35" s="25">
        <v>69.83</v>
      </c>
    </row>
    <row r="36" spans="1:11" x14ac:dyDescent="0.3">
      <c r="A36" s="20" t="s">
        <v>144</v>
      </c>
      <c r="B36" s="25">
        <v>5.39</v>
      </c>
      <c r="C36" s="25">
        <v>0.15</v>
      </c>
      <c r="D36" s="25">
        <v>23.12</v>
      </c>
      <c r="E36" s="25">
        <v>0.44</v>
      </c>
      <c r="F36" s="25">
        <v>0.01</v>
      </c>
      <c r="G36" s="25">
        <v>0</v>
      </c>
      <c r="H36" s="25">
        <v>2.44</v>
      </c>
      <c r="I36" s="25">
        <v>0.23</v>
      </c>
      <c r="J36" s="25">
        <v>990.66</v>
      </c>
      <c r="K36" s="25">
        <v>63.5</v>
      </c>
    </row>
  </sheetData>
  <mergeCells count="3">
    <mergeCell ref="C1:L1"/>
    <mergeCell ref="M1:P1"/>
    <mergeCell ref="Q1:Z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平均值和标准误</vt:lpstr>
      <vt:lpstr>熏蒸数据</vt:lpstr>
      <vt:lpstr>熏蒸-标准误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lingling deng</dc:creator>
  <cp:lastModifiedBy>yh C</cp:lastModifiedBy>
  <dcterms:created xsi:type="dcterms:W3CDTF">2015-06-05T18:19:34Z</dcterms:created>
  <dcterms:modified xsi:type="dcterms:W3CDTF">2026-03-31T05:42:50Z</dcterms:modified>
</cp:coreProperties>
</file>